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.shortcut-targets-by-id\1LlAaT2nYKKYWkOQa-_3PdNIAaSpQrtVt\01. PROJETO PAINÉIS SOLARES\_TRI STAR ONE SCP\"/>
    </mc:Choice>
  </mc:AlternateContent>
  <xr:revisionPtr revIDLastSave="0" documentId="13_ncr:1_{69CACC3D-7237-48E6-98B1-68659813C86A}" xr6:coauthVersionLast="47" xr6:coauthVersionMax="47" xr10:uidLastSave="{00000000-0000-0000-0000-000000000000}"/>
  <bookViews>
    <workbookView xWindow="-28920" yWindow="-2955" windowWidth="29040" windowHeight="15720" tabRatio="814" firstSheet="1" activeTab="2" xr2:uid="{00000000-000D-0000-FFFF-FFFF00000000}"/>
  </bookViews>
  <sheets>
    <sheet name="Instruções" sheetId="1" r:id="rId1"/>
    <sheet name="Preco (R$ x KWh)" sheetId="7" r:id="rId2"/>
    <sheet name="Dashboard" sheetId="2" r:id="rId3"/>
    <sheet name="Faturamento (Não Editar)" sheetId="8" r:id="rId4"/>
    <sheet name="Resumo Usinas (Histórico)" sheetId="3" r:id="rId5"/>
    <sheet name="Rateio de Crédito" sheetId="4" r:id="rId6"/>
    <sheet name="Dados Mensais (Histórico)" sheetId="5" r:id="rId7"/>
    <sheet name="Auxiliar (Não Editar)" sheetId="6" r:id="rId8"/>
  </sheets>
  <definedNames>
    <definedName name="_xlnm._FilterDatabase" localSheetId="6" hidden="1">'Dados Mensais (Histórico)'!$A$4:$P$49</definedName>
    <definedName name="_xlnm._FilterDatabase" localSheetId="5" hidden="1">'Rateio de Crédito'!$A$4:$I$20</definedName>
    <definedName name="_xlnm._FilterDatabase" localSheetId="4" hidden="1">'Resumo Usinas (Histórico)'!$B$4:$O$22</definedName>
    <definedName name="CompetenciasDisponiveis">OFFSET('Resumo Usinas (Histórico)'!$H$5,0,0,COUNTIFS('Resumo Usinas (Histórico)'!$H$5:$H$500,"&lt;&gt;"),1)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9" i="5" l="1"/>
  <c r="O32" i="5"/>
  <c r="O48" i="5"/>
  <c r="O35" i="5"/>
  <c r="O36" i="5"/>
  <c r="O47" i="5"/>
  <c r="O30" i="5"/>
  <c r="O46" i="5"/>
  <c r="O34" i="5"/>
  <c r="I34" i="2"/>
  <c r="G34" i="2"/>
  <c r="H16" i="2"/>
  <c r="E16" i="2"/>
  <c r="G16" i="2" s="1"/>
  <c r="B29" i="7"/>
  <c r="M43" i="5"/>
  <c r="M41" i="5"/>
  <c r="G33" i="2"/>
  <c r="G32" i="2"/>
  <c r="G31" i="2"/>
  <c r="G30" i="2"/>
  <c r="G29" i="2"/>
  <c r="G28" i="2"/>
  <c r="G27" i="2"/>
  <c r="I29" i="2"/>
  <c r="I30" i="2"/>
  <c r="I31" i="2"/>
  <c r="I32" i="2"/>
  <c r="I33" i="2"/>
  <c r="H34" i="2" l="1"/>
  <c r="A16" i="3"/>
  <c r="O39" i="5"/>
  <c r="O38" i="5"/>
  <c r="A22" i="3"/>
  <c r="A21" i="3"/>
  <c r="A20" i="3"/>
  <c r="A19" i="3"/>
  <c r="A18" i="3"/>
  <c r="A17" i="3"/>
  <c r="A15" i="3"/>
  <c r="A14" i="3"/>
  <c r="A13" i="3"/>
  <c r="A12" i="3"/>
  <c r="A11" i="3"/>
  <c r="A10" i="3"/>
  <c r="A9" i="3"/>
  <c r="A8" i="3"/>
  <c r="A7" i="3"/>
  <c r="A6" i="3"/>
  <c r="A5" i="3"/>
  <c r="B28" i="7"/>
  <c r="B27" i="7" l="1"/>
  <c r="H8" i="8"/>
  <c r="I8" i="8" s="1"/>
  <c r="H9" i="8"/>
  <c r="H10" i="8"/>
  <c r="I10" i="8" s="1"/>
  <c r="H11" i="8"/>
  <c r="I11" i="8" s="1"/>
  <c r="H12" i="8"/>
  <c r="H13" i="8"/>
  <c r="H14" i="8"/>
  <c r="H15" i="8"/>
  <c r="I15" i="8" s="1"/>
  <c r="H16" i="8"/>
  <c r="H17" i="8"/>
  <c r="H18" i="8"/>
  <c r="H19" i="8"/>
  <c r="I19" i="8" s="1"/>
  <c r="H20" i="8"/>
  <c r="H21" i="8"/>
  <c r="H22" i="8"/>
  <c r="H23" i="8"/>
  <c r="I23" i="8" s="1"/>
  <c r="H24" i="8"/>
  <c r="H25" i="8"/>
  <c r="H26" i="8"/>
  <c r="H27" i="8"/>
  <c r="I27" i="8" s="1"/>
  <c r="H28" i="8"/>
  <c r="H29" i="8"/>
  <c r="H30" i="8"/>
  <c r="H31" i="8"/>
  <c r="I31" i="8" s="1"/>
  <c r="H32" i="8"/>
  <c r="H33" i="8"/>
  <c r="H34" i="8"/>
  <c r="I34" i="8" s="1"/>
  <c r="H35" i="8"/>
  <c r="I35" i="8" s="1"/>
  <c r="H36" i="8"/>
  <c r="H37" i="8"/>
  <c r="H38" i="8"/>
  <c r="H39" i="8"/>
  <c r="I39" i="8" s="1"/>
  <c r="H40" i="8"/>
  <c r="H41" i="8"/>
  <c r="H42" i="8"/>
  <c r="I42" i="8" s="1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H7" i="8"/>
  <c r="I7" i="8" s="1"/>
  <c r="I41" i="8"/>
  <c r="I40" i="8"/>
  <c r="I38" i="8"/>
  <c r="I37" i="8"/>
  <c r="I36" i="8"/>
  <c r="I33" i="8"/>
  <c r="I32" i="8"/>
  <c r="I30" i="8"/>
  <c r="I29" i="8"/>
  <c r="I28" i="8"/>
  <c r="I26" i="8"/>
  <c r="I25" i="8"/>
  <c r="I24" i="8"/>
  <c r="I22" i="8"/>
  <c r="I21" i="8"/>
  <c r="I20" i="8"/>
  <c r="I18" i="8"/>
  <c r="I17" i="8"/>
  <c r="I16" i="8"/>
  <c r="I14" i="8"/>
  <c r="I13" i="8"/>
  <c r="I12" i="8"/>
  <c r="I9" i="8"/>
  <c r="A7" i="8"/>
  <c r="I4" i="2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F7" i="8" l="1"/>
  <c r="O7" i="8" s="1"/>
  <c r="C7" i="8"/>
  <c r="L7" i="8" s="1"/>
  <c r="D7" i="8"/>
  <c r="M7" i="8" s="1"/>
  <c r="B7" i="8"/>
  <c r="K7" i="8" s="1"/>
  <c r="E7" i="8"/>
  <c r="N7" i="8" s="1"/>
  <c r="A8" i="8"/>
  <c r="C8" i="8" s="1"/>
  <c r="L8" i="8" s="1"/>
  <c r="D8" i="8" l="1"/>
  <c r="M8" i="8" s="1"/>
  <c r="B8" i="8"/>
  <c r="K8" i="8" s="1"/>
  <c r="E8" i="8"/>
  <c r="N8" i="8" s="1"/>
  <c r="F8" i="8"/>
  <c r="O8" i="8" s="1"/>
  <c r="P7" i="8"/>
  <c r="A9" i="8"/>
  <c r="C9" i="8" s="1"/>
  <c r="L9" i="8" s="1"/>
  <c r="D9" i="8" l="1"/>
  <c r="M9" i="8" s="1"/>
  <c r="B9" i="8"/>
  <c r="K9" i="8" s="1"/>
  <c r="E9" i="8"/>
  <c r="N9" i="8" s="1"/>
  <c r="F9" i="8"/>
  <c r="O9" i="8" s="1"/>
  <c r="P8" i="8"/>
  <c r="A10" i="8"/>
  <c r="C10" i="8" s="1"/>
  <c r="L10" i="8" s="1"/>
  <c r="D10" i="8" l="1"/>
  <c r="M10" i="8" s="1"/>
  <c r="B10" i="8"/>
  <c r="K10" i="8" s="1"/>
  <c r="E10" i="8"/>
  <c r="N10" i="8" s="1"/>
  <c r="F10" i="8"/>
  <c r="O10" i="8" s="1"/>
  <c r="P9" i="8"/>
  <c r="A11" i="8"/>
  <c r="C11" i="8" s="1"/>
  <c r="L11" i="8" s="1"/>
  <c r="D11" i="8" l="1"/>
  <c r="M11" i="8" s="1"/>
  <c r="B11" i="8"/>
  <c r="K11" i="8" s="1"/>
  <c r="E11" i="8"/>
  <c r="N11" i="8" s="1"/>
  <c r="F11" i="8"/>
  <c r="O11" i="8" s="1"/>
  <c r="P10" i="8"/>
  <c r="A12" i="8"/>
  <c r="C12" i="8" s="1"/>
  <c r="L12" i="8" s="1"/>
  <c r="D12" i="8" l="1"/>
  <c r="M12" i="8" s="1"/>
  <c r="B12" i="8"/>
  <c r="K12" i="8" s="1"/>
  <c r="E12" i="8"/>
  <c r="N12" i="8" s="1"/>
  <c r="F12" i="8"/>
  <c r="O12" i="8" s="1"/>
  <c r="P11" i="8"/>
  <c r="A13" i="8"/>
  <c r="C13" i="8" s="1"/>
  <c r="L13" i="8" s="1"/>
  <c r="D13" i="8" l="1"/>
  <c r="M13" i="8" s="1"/>
  <c r="B13" i="8"/>
  <c r="K13" i="8" s="1"/>
  <c r="E13" i="8"/>
  <c r="N13" i="8" s="1"/>
  <c r="F13" i="8"/>
  <c r="O13" i="8" s="1"/>
  <c r="P12" i="8"/>
  <c r="A14" i="8"/>
  <c r="C14" i="8" s="1"/>
  <c r="L14" i="8" s="1"/>
  <c r="D14" i="8" l="1"/>
  <c r="M14" i="8" s="1"/>
  <c r="B14" i="8"/>
  <c r="K14" i="8" s="1"/>
  <c r="E14" i="8"/>
  <c r="N14" i="8" s="1"/>
  <c r="F14" i="8"/>
  <c r="O14" i="8" s="1"/>
  <c r="P13" i="8"/>
  <c r="A15" i="8"/>
  <c r="C15" i="8" s="1"/>
  <c r="L15" i="8" s="1"/>
  <c r="D15" i="8" l="1"/>
  <c r="M15" i="8" s="1"/>
  <c r="B15" i="8"/>
  <c r="K15" i="8" s="1"/>
  <c r="E15" i="8"/>
  <c r="N15" i="8" s="1"/>
  <c r="F15" i="8"/>
  <c r="O15" i="8" s="1"/>
  <c r="P14" i="8"/>
  <c r="A16" i="8"/>
  <c r="C16" i="8" s="1"/>
  <c r="L16" i="8" s="1"/>
  <c r="D16" i="8" l="1"/>
  <c r="M16" i="8" s="1"/>
  <c r="B16" i="8"/>
  <c r="K16" i="8" s="1"/>
  <c r="E16" i="8"/>
  <c r="N16" i="8" s="1"/>
  <c r="F16" i="8"/>
  <c r="O16" i="8" s="1"/>
  <c r="P15" i="8"/>
  <c r="A17" i="8"/>
  <c r="C17" i="8" s="1"/>
  <c r="L17" i="8" s="1"/>
  <c r="D17" i="8" l="1"/>
  <c r="M17" i="8" s="1"/>
  <c r="B17" i="8"/>
  <c r="K17" i="8" s="1"/>
  <c r="E17" i="8"/>
  <c r="N17" i="8" s="1"/>
  <c r="F17" i="8"/>
  <c r="O17" i="8" s="1"/>
  <c r="P16" i="8"/>
  <c r="A18" i="8"/>
  <c r="C18" i="8" s="1"/>
  <c r="L18" i="8" s="1"/>
  <c r="D18" i="8" l="1"/>
  <c r="M18" i="8" s="1"/>
  <c r="B18" i="8"/>
  <c r="K18" i="8" s="1"/>
  <c r="E18" i="8"/>
  <c r="N18" i="8" s="1"/>
  <c r="F18" i="8"/>
  <c r="O18" i="8" s="1"/>
  <c r="P17" i="8"/>
  <c r="A19" i="8"/>
  <c r="C19" i="8" s="1"/>
  <c r="L19" i="8" s="1"/>
  <c r="D19" i="8" l="1"/>
  <c r="M19" i="8" s="1"/>
  <c r="B19" i="8"/>
  <c r="K19" i="8" s="1"/>
  <c r="E19" i="8"/>
  <c r="N19" i="8" s="1"/>
  <c r="F19" i="8"/>
  <c r="O19" i="8" s="1"/>
  <c r="P18" i="8"/>
  <c r="A20" i="8"/>
  <c r="C20" i="8" s="1"/>
  <c r="L20" i="8" s="1"/>
  <c r="D20" i="8" l="1"/>
  <c r="M20" i="8" s="1"/>
  <c r="B20" i="8"/>
  <c r="K20" i="8" s="1"/>
  <c r="E20" i="8"/>
  <c r="N20" i="8" s="1"/>
  <c r="F20" i="8"/>
  <c r="O20" i="8" s="1"/>
  <c r="P19" i="8"/>
  <c r="A21" i="8"/>
  <c r="C21" i="8" s="1"/>
  <c r="L21" i="8" s="1"/>
  <c r="D21" i="8" l="1"/>
  <c r="M21" i="8" s="1"/>
  <c r="B21" i="8"/>
  <c r="K21" i="8" s="1"/>
  <c r="E21" i="8"/>
  <c r="N21" i="8" s="1"/>
  <c r="F21" i="8"/>
  <c r="O21" i="8" s="1"/>
  <c r="P20" i="8"/>
  <c r="A22" i="8"/>
  <c r="C22" i="8" s="1"/>
  <c r="L22" i="8" s="1"/>
  <c r="D22" i="8" l="1"/>
  <c r="M22" i="8" s="1"/>
  <c r="B22" i="8"/>
  <c r="K22" i="8" s="1"/>
  <c r="E22" i="8"/>
  <c r="N22" i="8" s="1"/>
  <c r="F22" i="8"/>
  <c r="O22" i="8" s="1"/>
  <c r="P21" i="8"/>
  <c r="A23" i="8"/>
  <c r="C23" i="8" s="1"/>
  <c r="L23" i="8" s="1"/>
  <c r="D23" i="8" l="1"/>
  <c r="M23" i="8" s="1"/>
  <c r="B23" i="8"/>
  <c r="K23" i="8" s="1"/>
  <c r="E23" i="8"/>
  <c r="N23" i="8" s="1"/>
  <c r="F23" i="8"/>
  <c r="O23" i="8" s="1"/>
  <c r="P22" i="8"/>
  <c r="A24" i="8"/>
  <c r="C24" i="8" s="1"/>
  <c r="L24" i="8" s="1"/>
  <c r="A25" i="8" l="1"/>
  <c r="C25" i="8" s="1"/>
  <c r="L25" i="8" s="1"/>
  <c r="D24" i="8"/>
  <c r="M24" i="8" s="1"/>
  <c r="B24" i="8"/>
  <c r="K24" i="8" s="1"/>
  <c r="E24" i="8"/>
  <c r="N24" i="8" s="1"/>
  <c r="F24" i="8"/>
  <c r="O24" i="8" s="1"/>
  <c r="P23" i="8"/>
  <c r="A26" i="8" l="1"/>
  <c r="C26" i="8" s="1"/>
  <c r="L26" i="8" s="1"/>
  <c r="D25" i="8"/>
  <c r="M25" i="8" s="1"/>
  <c r="B25" i="8"/>
  <c r="K25" i="8" s="1"/>
  <c r="E25" i="8"/>
  <c r="N25" i="8" s="1"/>
  <c r="F25" i="8"/>
  <c r="O25" i="8" s="1"/>
  <c r="P24" i="8"/>
  <c r="F26" i="8" l="1"/>
  <c r="O26" i="8" s="1"/>
  <c r="D26" i="8"/>
  <c r="M26" i="8" s="1"/>
  <c r="E26" i="8"/>
  <c r="N26" i="8" s="1"/>
  <c r="B26" i="8"/>
  <c r="K26" i="8" s="1"/>
  <c r="A27" i="8"/>
  <c r="C27" i="8" s="1"/>
  <c r="L27" i="8" s="1"/>
  <c r="P25" i="8"/>
  <c r="F27" i="8" l="1"/>
  <c r="O27" i="8" s="1"/>
  <c r="B27" i="8"/>
  <c r="K27" i="8" s="1"/>
  <c r="E27" i="8"/>
  <c r="N27" i="8" s="1"/>
  <c r="D27" i="8"/>
  <c r="M27" i="8" s="1"/>
  <c r="A28" i="8"/>
  <c r="C28" i="8" s="1"/>
  <c r="L28" i="8" s="1"/>
  <c r="P26" i="8"/>
  <c r="A29" i="8" l="1"/>
  <c r="C29" i="8" s="1"/>
  <c r="L29" i="8" s="1"/>
  <c r="D28" i="8"/>
  <c r="M28" i="8" s="1"/>
  <c r="F28" i="8"/>
  <c r="O28" i="8" s="1"/>
  <c r="B28" i="8"/>
  <c r="K28" i="8" s="1"/>
  <c r="E28" i="8"/>
  <c r="N28" i="8" s="1"/>
  <c r="P27" i="8"/>
  <c r="F29" i="8" l="1"/>
  <c r="O29" i="8" s="1"/>
  <c r="D29" i="8"/>
  <c r="M29" i="8" s="1"/>
  <c r="E29" i="8"/>
  <c r="N29" i="8" s="1"/>
  <c r="B29" i="8"/>
  <c r="K29" i="8" s="1"/>
  <c r="A30" i="8"/>
  <c r="C30" i="8" s="1"/>
  <c r="L30" i="8" s="1"/>
  <c r="P28" i="8"/>
  <c r="A6" i="6"/>
  <c r="D6" i="6" s="1"/>
  <c r="I36" i="2"/>
  <c r="I35" i="2"/>
  <c r="I28" i="2"/>
  <c r="I27" i="2"/>
  <c r="H21" i="2"/>
  <c r="E21" i="2"/>
  <c r="H20" i="2"/>
  <c r="E20" i="2"/>
  <c r="H19" i="2"/>
  <c r="E19" i="2"/>
  <c r="H18" i="2"/>
  <c r="E18" i="2"/>
  <c r="H17" i="2"/>
  <c r="E17" i="2"/>
  <c r="H15" i="2"/>
  <c r="E15" i="2"/>
  <c r="H14" i="2"/>
  <c r="E14" i="2"/>
  <c r="H13" i="2"/>
  <c r="E13" i="2"/>
  <c r="H12" i="2"/>
  <c r="E12" i="2"/>
  <c r="G15" i="2" l="1"/>
  <c r="G12" i="2"/>
  <c r="H27" i="2" s="1"/>
  <c r="G13" i="2"/>
  <c r="H28" i="2" s="1"/>
  <c r="G14" i="2"/>
  <c r="A15" i="2"/>
  <c r="F15" i="2" s="1"/>
  <c r="A12" i="2"/>
  <c r="F12" i="2" s="1"/>
  <c r="A13" i="2"/>
  <c r="F13" i="2" s="1"/>
  <c r="A14" i="2"/>
  <c r="F14" i="2" s="1"/>
  <c r="G17" i="2"/>
  <c r="A17" i="2"/>
  <c r="G19" i="2"/>
  <c r="H36" i="2" s="1"/>
  <c r="A19" i="2"/>
  <c r="G21" i="2"/>
  <c r="A21" i="2"/>
  <c r="A16" i="2"/>
  <c r="F16" i="2" s="1"/>
  <c r="G18" i="2"/>
  <c r="H35" i="2" s="1"/>
  <c r="A18" i="2"/>
  <c r="G20" i="2"/>
  <c r="A20" i="2"/>
  <c r="F30" i="8"/>
  <c r="O30" i="8" s="1"/>
  <c r="B30" i="8"/>
  <c r="K30" i="8" s="1"/>
  <c r="A31" i="8"/>
  <c r="C31" i="8" s="1"/>
  <c r="L31" i="8" s="1"/>
  <c r="E30" i="8"/>
  <c r="N30" i="8" s="1"/>
  <c r="D30" i="8"/>
  <c r="M30" i="8" s="1"/>
  <c r="P29" i="8"/>
  <c r="E6" i="6"/>
  <c r="F17" i="2"/>
  <c r="F18" i="2"/>
  <c r="F19" i="2"/>
  <c r="F20" i="2"/>
  <c r="F21" i="2"/>
  <c r="B6" i="6"/>
  <c r="A7" i="6"/>
  <c r="B7" i="6" s="1"/>
  <c r="C6" i="6"/>
  <c r="H29" i="2" l="1"/>
  <c r="H33" i="2"/>
  <c r="H30" i="2"/>
  <c r="H32" i="2"/>
  <c r="H31" i="2"/>
  <c r="G22" i="2"/>
  <c r="B7" i="2" s="1"/>
  <c r="B31" i="8"/>
  <c r="K31" i="8" s="1"/>
  <c r="F31" i="8"/>
  <c r="O31" i="8" s="1"/>
  <c r="D31" i="8"/>
  <c r="M31" i="8" s="1"/>
  <c r="A32" i="8"/>
  <c r="C32" i="8" s="1"/>
  <c r="L32" i="8" s="1"/>
  <c r="E31" i="8"/>
  <c r="N31" i="8" s="1"/>
  <c r="P30" i="8"/>
  <c r="C7" i="6"/>
  <c r="A8" i="6"/>
  <c r="B8" i="6" s="1"/>
  <c r="E7" i="6"/>
  <c r="D7" i="6"/>
  <c r="H37" i="2" l="1"/>
  <c r="F7" i="2" s="1"/>
  <c r="A33" i="8"/>
  <c r="C33" i="8" s="1"/>
  <c r="L33" i="8" s="1"/>
  <c r="D32" i="8"/>
  <c r="M32" i="8" s="1"/>
  <c r="F32" i="8"/>
  <c r="O32" i="8" s="1"/>
  <c r="B32" i="8"/>
  <c r="K32" i="8" s="1"/>
  <c r="E32" i="8"/>
  <c r="N32" i="8" s="1"/>
  <c r="P31" i="8"/>
  <c r="A9" i="6"/>
  <c r="B9" i="6" s="1"/>
  <c r="E8" i="6"/>
  <c r="D8" i="6"/>
  <c r="C8" i="6"/>
  <c r="D33" i="8" l="1"/>
  <c r="M33" i="8" s="1"/>
  <c r="F33" i="8"/>
  <c r="O33" i="8" s="1"/>
  <c r="B33" i="8"/>
  <c r="K33" i="8" s="1"/>
  <c r="A34" i="8"/>
  <c r="C34" i="8" s="1"/>
  <c r="L34" i="8" s="1"/>
  <c r="E33" i="8"/>
  <c r="N33" i="8" s="1"/>
  <c r="P32" i="8"/>
  <c r="E9" i="6"/>
  <c r="D9" i="6"/>
  <c r="C9" i="6"/>
  <c r="A10" i="6"/>
  <c r="B10" i="6" s="1"/>
  <c r="F34" i="8" l="1"/>
  <c r="O34" i="8" s="1"/>
  <c r="B34" i="8"/>
  <c r="K34" i="8" s="1"/>
  <c r="D34" i="8"/>
  <c r="M34" i="8" s="1"/>
  <c r="E34" i="8"/>
  <c r="N34" i="8" s="1"/>
  <c r="A35" i="8"/>
  <c r="C35" i="8" s="1"/>
  <c r="L35" i="8" s="1"/>
  <c r="P33" i="8"/>
  <c r="D10" i="6"/>
  <c r="C10" i="6"/>
  <c r="A11" i="6"/>
  <c r="B11" i="6" s="1"/>
  <c r="E10" i="6"/>
  <c r="E35" i="8" l="1"/>
  <c r="N35" i="8" s="1"/>
  <c r="B35" i="8"/>
  <c r="K35" i="8" s="1"/>
  <c r="A36" i="8"/>
  <c r="C36" i="8" s="1"/>
  <c r="L36" i="8" s="1"/>
  <c r="F35" i="8"/>
  <c r="O35" i="8" s="1"/>
  <c r="D35" i="8"/>
  <c r="M35" i="8" s="1"/>
  <c r="P34" i="8"/>
  <c r="C11" i="6"/>
  <c r="A12" i="6"/>
  <c r="B12" i="6" s="1"/>
  <c r="E11" i="6"/>
  <c r="D11" i="6"/>
  <c r="A37" i="8" l="1"/>
  <c r="C37" i="8" s="1"/>
  <c r="L37" i="8" s="1"/>
  <c r="D36" i="8"/>
  <c r="M36" i="8" s="1"/>
  <c r="F36" i="8"/>
  <c r="O36" i="8" s="1"/>
  <c r="E36" i="8"/>
  <c r="N36" i="8" s="1"/>
  <c r="B36" i="8"/>
  <c r="K36" i="8" s="1"/>
  <c r="P35" i="8"/>
  <c r="A13" i="6"/>
  <c r="B13" i="6" s="1"/>
  <c r="E12" i="6"/>
  <c r="D12" i="6"/>
  <c r="C12" i="6"/>
  <c r="E37" i="8" l="1"/>
  <c r="N37" i="8" s="1"/>
  <c r="D37" i="8"/>
  <c r="M37" i="8" s="1"/>
  <c r="F37" i="8"/>
  <c r="O37" i="8" s="1"/>
  <c r="B37" i="8"/>
  <c r="K37" i="8" s="1"/>
  <c r="A38" i="8"/>
  <c r="C38" i="8" s="1"/>
  <c r="L38" i="8" s="1"/>
  <c r="P36" i="8"/>
  <c r="E13" i="6"/>
  <c r="D13" i="6"/>
  <c r="C13" i="6"/>
  <c r="A14" i="6"/>
  <c r="B14" i="6" s="1"/>
  <c r="F38" i="8" l="1"/>
  <c r="O38" i="8" s="1"/>
  <c r="D38" i="8"/>
  <c r="M38" i="8" s="1"/>
  <c r="E38" i="8"/>
  <c r="N38" i="8" s="1"/>
  <c r="A39" i="8"/>
  <c r="C39" i="8" s="1"/>
  <c r="L39" i="8" s="1"/>
  <c r="B38" i="8"/>
  <c r="K38" i="8" s="1"/>
  <c r="P37" i="8"/>
  <c r="D14" i="6"/>
  <c r="C14" i="6"/>
  <c r="A15" i="6"/>
  <c r="B15" i="6" s="1"/>
  <c r="E14" i="6"/>
  <c r="B39" i="8" l="1"/>
  <c r="K39" i="8" s="1"/>
  <c r="F39" i="8"/>
  <c r="O39" i="8" s="1"/>
  <c r="D39" i="8"/>
  <c r="M39" i="8" s="1"/>
  <c r="A40" i="8"/>
  <c r="C40" i="8" s="1"/>
  <c r="L40" i="8" s="1"/>
  <c r="E39" i="8"/>
  <c r="N39" i="8" s="1"/>
  <c r="P38" i="8"/>
  <c r="C15" i="6"/>
  <c r="A16" i="6"/>
  <c r="B16" i="6" s="1"/>
  <c r="E15" i="6"/>
  <c r="D15" i="6"/>
  <c r="A41" i="8" l="1"/>
  <c r="C41" i="8" s="1"/>
  <c r="L41" i="8" s="1"/>
  <c r="F40" i="8"/>
  <c r="O40" i="8" s="1"/>
  <c r="B40" i="8"/>
  <c r="K40" i="8" s="1"/>
  <c r="E40" i="8"/>
  <c r="N40" i="8" s="1"/>
  <c r="D40" i="8"/>
  <c r="M40" i="8" s="1"/>
  <c r="P39" i="8"/>
  <c r="A17" i="6"/>
  <c r="B17" i="6" s="1"/>
  <c r="E16" i="6"/>
  <c r="D16" i="6"/>
  <c r="C16" i="6"/>
  <c r="F41" i="8" l="1"/>
  <c r="O41" i="8" s="1"/>
  <c r="B41" i="8"/>
  <c r="K41" i="8" s="1"/>
  <c r="A42" i="8"/>
  <c r="C42" i="8" s="1"/>
  <c r="L42" i="8" s="1"/>
  <c r="E41" i="8"/>
  <c r="N41" i="8" s="1"/>
  <c r="D41" i="8"/>
  <c r="M41" i="8" s="1"/>
  <c r="P40" i="8"/>
  <c r="E17" i="6"/>
  <c r="D17" i="6"/>
  <c r="C17" i="6"/>
  <c r="A18" i="6"/>
  <c r="B18" i="6" s="1"/>
  <c r="F42" i="8" l="1"/>
  <c r="O42" i="8" s="1"/>
  <c r="B42" i="8"/>
  <c r="K42" i="8" s="1"/>
  <c r="E42" i="8"/>
  <c r="N42" i="8" s="1"/>
  <c r="D42" i="8"/>
  <c r="M42" i="8" s="1"/>
  <c r="P41" i="8"/>
  <c r="D18" i="6"/>
  <c r="C18" i="6"/>
  <c r="A19" i="6"/>
  <c r="B19" i="6" s="1"/>
  <c r="E18" i="6"/>
  <c r="P42" i="8" l="1"/>
  <c r="C19" i="6"/>
  <c r="A20" i="6"/>
  <c r="B20" i="6" s="1"/>
  <c r="E19" i="6"/>
  <c r="D19" i="6"/>
  <c r="A21" i="6" l="1"/>
  <c r="B21" i="6" s="1"/>
  <c r="E20" i="6"/>
  <c r="D20" i="6"/>
  <c r="C20" i="6"/>
  <c r="E21" i="6" l="1"/>
  <c r="D21" i="6"/>
  <c r="C21" i="6"/>
  <c r="A22" i="6"/>
  <c r="B22" i="6" s="1"/>
  <c r="D22" i="6" l="1"/>
  <c r="C22" i="6"/>
  <c r="A23" i="6"/>
  <c r="E22" i="6"/>
  <c r="B23" i="6" l="1"/>
  <c r="A24" i="6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C23" i="6"/>
  <c r="E23" i="6"/>
  <c r="D23" i="6"/>
  <c r="B24" i="6" l="1"/>
  <c r="B25" i="6"/>
  <c r="E24" i="6"/>
  <c r="D24" i="6"/>
  <c r="C24" i="6"/>
  <c r="E25" i="6" l="1"/>
  <c r="D25" i="6"/>
  <c r="C25" i="6"/>
  <c r="B26" i="6"/>
  <c r="D26" i="6" l="1"/>
  <c r="C26" i="6"/>
  <c r="B27" i="6"/>
  <c r="E26" i="6"/>
  <c r="C27" i="6" l="1"/>
  <c r="B28" i="6"/>
  <c r="E27" i="6"/>
  <c r="D27" i="6"/>
  <c r="B29" i="6" l="1"/>
  <c r="E28" i="6"/>
  <c r="D28" i="6"/>
  <c r="C28" i="6"/>
  <c r="E29" i="6" l="1"/>
  <c r="D29" i="6"/>
  <c r="C29" i="6"/>
  <c r="B30" i="6"/>
  <c r="D30" i="6" l="1"/>
  <c r="C30" i="6"/>
  <c r="B31" i="6"/>
  <c r="E30" i="6"/>
  <c r="C31" i="6" l="1"/>
  <c r="B32" i="6"/>
  <c r="E31" i="6"/>
  <c r="D31" i="6"/>
  <c r="B33" i="6" l="1"/>
  <c r="E32" i="6"/>
  <c r="D32" i="6"/>
  <c r="C32" i="6"/>
  <c r="E33" i="6" l="1"/>
  <c r="D33" i="6"/>
  <c r="C33" i="6"/>
  <c r="B34" i="6"/>
  <c r="D34" i="6" l="1"/>
  <c r="C34" i="6"/>
  <c r="B35" i="6"/>
  <c r="E34" i="6"/>
  <c r="C35" i="6" l="1"/>
  <c r="B36" i="6"/>
  <c r="E35" i="6"/>
  <c r="D35" i="6"/>
  <c r="B37" i="6" l="1"/>
  <c r="E36" i="6"/>
  <c r="D36" i="6"/>
  <c r="C36" i="6"/>
  <c r="E37" i="6" l="1"/>
  <c r="D37" i="6"/>
  <c r="C37" i="6"/>
  <c r="B38" i="6"/>
  <c r="D38" i="6" l="1"/>
  <c r="C38" i="6"/>
  <c r="B39" i="6"/>
  <c r="E38" i="6"/>
  <c r="C39" i="6" l="1"/>
  <c r="B40" i="6"/>
  <c r="E39" i="6"/>
  <c r="D39" i="6"/>
  <c r="B41" i="6" l="1"/>
  <c r="E40" i="6"/>
  <c r="D40" i="6"/>
  <c r="C40" i="6"/>
  <c r="E41" i="6" l="1"/>
  <c r="D41" i="6"/>
  <c r="C41" i="6"/>
</calcChain>
</file>

<file path=xl/sharedStrings.xml><?xml version="1.0" encoding="utf-8"?>
<sst xmlns="http://schemas.openxmlformats.org/spreadsheetml/2006/main" count="654" uniqueCount="189">
  <si>
    <t>Instruções de Preenchimento — Controle GD TRI STAR ONE SCP</t>
  </si>
  <si>
    <t>Leia esta aba antes de lançar os dados do mês. A planilha é cumulativa: nunca apague ou sobrescreva competências já lançadas.</t>
  </si>
  <si>
    <t>1. Rotina mensal — o que fazer a cada novo demonstrativo</t>
  </si>
  <si>
    <t>•  Para cada usina, abra o novo 'Demonstrativo de Faturamento' (Neoenergia/Cosern) do mês.</t>
  </si>
  <si>
    <t>•  Na aba 'Resumo Usinas (Histórico)': adicione UMA NOVA LINHA por usina (nunca sobrescreva a linha do mês anterior) com a Competência do mês e os valores do bloco 'Resumo de Saldo de Crédito' do relatório (Total Injetado, Total Compensado, Saldo Acumulado, Próximo Saldo a Expirar, Ciclo de Faturamento a Expirar, Total de Créditos Expirados).</t>
  </si>
  <si>
    <t>•  Na aba 'Dados Mensais (Histórico)': adicione uma NOVA LINHA por código de cliente (injetor e beneficiários) com a Competência e os valores de 'Dados dos Últimos 13 Meses' (Energia Consumida, Energia Injetada, Energ. Exc. Alocada, KWh Compensado, Energia Faturada, Crédito).</t>
  </si>
  <si>
    <t>•  Confira a aba 'Rateio de Crédito': só precisa mexer nela se o percentual de rateio contratual entre injetor e beneficiários tiver mudado. Se mudar, atualize o percentual e a data em 'Vigente desde'.</t>
  </si>
  <si>
    <t>•  Abra a aba 'Dashboard' — ela é 100% automática e vai puxar sozinha a competência mais recente de cada usina, o saldo atual e o rateio por beneficiário.</t>
  </si>
  <si>
    <t>2. Onde inserir cada dado (mapa das abas)</t>
  </si>
  <si>
    <t>•  Dashboard — não digitar nada aqui. Todas as células são fórmulas que leem as outras abas.</t>
  </si>
  <si>
    <t>•  Resumo Usinas (Histórico) — inserir aqui: 1 linha por usina a cada mês (dados do bloco 'Resumo de Saldo de Crédito').</t>
  </si>
  <si>
    <t>•  Rateio de Crédito — inserir/editar aqui: percentual de rateio por código beneficiário (raramente muda).</t>
  </si>
  <si>
    <t>•  Dados Mensais (Histórico) — inserir aqui: 1 linha por código de cliente a cada mês (dados de 'Dados dos Últimos 13 Meses').</t>
  </si>
  <si>
    <t>3. Legenda de cores usada em toda a planilha</t>
  </si>
  <si>
    <t>•  Amarelo — célula a preencher (dado novo do mês ou usina em construção que ainda não tem dado).</t>
  </si>
  <si>
    <t>•  Cinza / itálico — usina em construção (05 a 10): nome e código provisório já reservados; substitua o código provisório ('A DEFINIR-0X') pelo código real do cliente injetor assim que a usina entrar em operação, mantendo-o igual em todas as abas.</t>
  </si>
  <si>
    <t>•  Laranja — código injetor (gerador) puro, que retém 0% do próprio crédito (aba Rateio de Crédito).</t>
  </si>
  <si>
    <t>•  Azul claro — injetor que também é 100% beneficiário de si mesmo (autoconsumo remoto).</t>
  </si>
  <si>
    <t>•  Verde — código beneficiário, que recebe rateio de crédito de outra usina.</t>
  </si>
  <si>
    <t>4. Pontos de atenção</t>
  </si>
  <si>
    <t>•  Nunca apague uma linha de competência já lançada — o histórico é a base de todos os cálculos do Dashboard.</t>
  </si>
  <si>
    <t>•  O código de cliente deve ser digitado sempre da mesma forma (mesmo texto/número) nas 3 abas de dados, senão as fórmulas de busca não vão encontrar o registro.</t>
  </si>
  <si>
    <t>•  Ao adicionar novas usinas em construção, mantenha o mesmo padrão de nome e código provisório usado nas 3 abas antes de trocar pelo código definitivo.</t>
  </si>
  <si>
    <t>•  Se um beneficiário passar meses sem consumo registrado (como já ocorre com alguns códigos nesta planilha), isso aparece automaticamente na coluna 'Situação' do Dashboard — vale confirmar com a distribuidora se a unidade continua ativa.</t>
  </si>
  <si>
    <t>5. Como usar o seletor de competência e os gráficos do Dashboard</t>
  </si>
  <si>
    <t>•  Na aba 'Dashboard', a célula em vermelho no topo (C4) é um menu suspenso: clique nela e escolha a competência que quiser consultar.</t>
  </si>
  <si>
    <t>•  As Tabelas A e B e o gráfico de pizza mostram o saldo ACUMULADO até a competência escolhida (o registro mais recente igual ou anterior a ela) — ideal para consultar posições de meses passados sem perder o histórico.</t>
  </si>
  <si>
    <t>•  O gráfico de linha ('Evolução do Saldo de Crédito por Usina ao Longo do Tempo') sempre mostra a série histórica completa, independente da competência escolhida no seletor, para acompanhar a tendência de cada usina.</t>
  </si>
  <si>
    <t>•  A aba 'Auxiliar (Não Editar)' alimenta o gráfico de linha automaticamente — não digite nada nela.</t>
  </si>
  <si>
    <t>Dashboard — Controle de Geração Distribuída TRI STAR ONE SCP</t>
  </si>
  <si>
    <t>Escolha a competência abaixo para ver o saldo de crédito acumulado e o rateio por beneficiário até aquele mês</t>
  </si>
  <si>
    <t>Competência de Referência (escolha):</t>
  </si>
  <si>
    <t>Última competência disponível:</t>
  </si>
  <si>
    <t>Total Alocado a Beneficiários (kWh)</t>
  </si>
  <si>
    <t>Usinas Ativas / Em Construção</t>
  </si>
  <si>
    <t>Usina / Cliente Gerador</t>
  </si>
  <si>
    <t>Código Injetor</t>
  </si>
  <si>
    <t>Competência Considerada</t>
  </si>
  <si>
    <t>Potência (kWp)</t>
  </si>
  <si>
    <t>% Alocado a Beneficiários</t>
  </si>
  <si>
    <t>Situação</t>
  </si>
  <si>
    <t>ARCO IRIS ADMINISTRADORA DE BENS E IMOVEIS LTDA</t>
  </si>
  <si>
    <t>7030102643</t>
  </si>
  <si>
    <t>Rateado para 1 UC externa — beneficiário sem consumo faturado (verificar UC 7001017068)</t>
  </si>
  <si>
    <t>SAF HOSPEDAGENS LTDA</t>
  </si>
  <si>
    <t>7030869049</t>
  </si>
  <si>
    <t>Autoconsumo remoto — 100% do crédito retido pelo próprio injetor</t>
  </si>
  <si>
    <t>JM EMPREENDIMENTOS IMOBILIARIOS E HOTE</t>
  </si>
  <si>
    <t>7030869065</t>
  </si>
  <si>
    <t>SOMBRA FLORESTA EMPREENDIMENTOS IMOBILIARIOS LTDA</t>
  </si>
  <si>
    <t>7030869294</t>
  </si>
  <si>
    <t>Em construção — aguardando entrada em operação</t>
  </si>
  <si>
    <t>USINA EM CONSTRUÇÃO 06</t>
  </si>
  <si>
    <t>A DEFINIR-06</t>
  </si>
  <si>
    <t>USINA EM CONSTRUÇÃO 07</t>
  </si>
  <si>
    <t>A DEFINIR-07</t>
  </si>
  <si>
    <t>USINA EM CONSTRUÇÃO 08</t>
  </si>
  <si>
    <t>A DEFINIR-08</t>
  </si>
  <si>
    <t>USINA EM CONSTRUÇÃO 09</t>
  </si>
  <si>
    <t>A DEFINIR-09</t>
  </si>
  <si>
    <t>USINA EM CONSTRUÇÃO 10</t>
  </si>
  <si>
    <t>A DEFINIR-10</t>
  </si>
  <si>
    <t>TOTAL</t>
  </si>
  <si>
    <t>Rateio do Saldo de Crédito por Unidade Beneficiária</t>
  </si>
  <si>
    <t>Usina</t>
  </si>
  <si>
    <t>Código Beneficiário</t>
  </si>
  <si>
    <t>Papel</t>
  </si>
  <si>
    <t>% Rateio</t>
  </si>
  <si>
    <t>Saldo Alocado (kWh)</t>
  </si>
  <si>
    <t>Vigente desde</t>
  </si>
  <si>
    <t>7001017068</t>
  </si>
  <si>
    <t>Beneficiário</t>
  </si>
  <si>
    <t>Injetor e Beneficiário (autoconsumo)</t>
  </si>
  <si>
    <t>7022476844</t>
  </si>
  <si>
    <t>7022476950</t>
  </si>
  <si>
    <t>7022546729</t>
  </si>
  <si>
    <t>7022546796</t>
  </si>
  <si>
    <t>TOTAL RATEADO</t>
  </si>
  <si>
    <t>Como funciona: escolha a competência na célula em vermelho acima. A Tabela A busca, para cada usina, o registro mais recente com data igual ou anterior à competência escolhida na aba 'Resumo Usinas (Histórico)'. A Tabela B multiplica esse saldo pelo percentual de rateio configurado na aba 'Rateio de Crédito'. Os gráficos abaixo também respeitam a competência escolhida (pizza) ou mostram a evolução completa do histórico (linha).</t>
  </si>
  <si>
    <t>Resumo Usinas — Histórico Mensal (TRI STAR ONE SCP)</t>
  </si>
  <si>
    <t>TABELA CUMULATIVA: a cada mês, adicione uma nova linha por usina com os dados do 'Resumo de Saldo de Crédito' do novo demonstrativo</t>
  </si>
  <si>
    <t>Código Cliente Injetor</t>
  </si>
  <si>
    <t>Modalidade GD</t>
  </si>
  <si>
    <t>Classificação GD</t>
  </si>
  <si>
    <t>Competência</t>
  </si>
  <si>
    <t>Total Injetado (kWh)</t>
  </si>
  <si>
    <t>Total Compensado (kWh)</t>
  </si>
  <si>
    <t>Saldo Acumulado (kWh)</t>
  </si>
  <si>
    <t>Próx. Saldo Acum. a Expirar (kWh)</t>
  </si>
  <si>
    <t>Ciclo de Faturamento a Expirar</t>
  </si>
  <si>
    <t>Total de Créditos Expirados (kWh)</t>
  </si>
  <si>
    <t>AR</t>
  </si>
  <si>
    <t>GDII</t>
  </si>
  <si>
    <t>jul/2031</t>
  </si>
  <si>
    <t>CL</t>
  </si>
  <si>
    <t>Como usar: a cada novo demonstrativo mensal, adicione uma NOVA LINHA por usina (não sobrescreva a anterior) com a Competência do mês e os valores do bloco 'Resumo de Saldo de Crédito' do relatório. As linhas em amarelo abaixo dos dados são um espaço reservado para os próximos meses — copie a formatação para baixo conforme for preenchendo (as fórmulas do Dashboard já cobrem até a linha 500, então não é necessário ajustar nada). O Dashboard sempre pega automaticamente a competência escolhida (ou mais recente) de cada usina.</t>
  </si>
  <si>
    <t>Rateio de Crédito por Unidade Beneficiária (Configuração)</t>
  </si>
  <si>
    <t>Percentual de energia injetada alocado a cada código de cliente — atualize aqui se o rateio contratual mudar</t>
  </si>
  <si>
    <t>Código Cliente Injetor (Gerador)</t>
  </si>
  <si>
    <t>Código Cliente Beneficiário</t>
  </si>
  <si>
    <t>Percentual de Rateio</t>
  </si>
  <si>
    <t>Observação</t>
  </si>
  <si>
    <t>Injetor (Gerador)</t>
  </si>
  <si>
    <t>Prioridade 0% — não retém crédito próprio</t>
  </si>
  <si>
    <t>Sem consumo faturado em jul/2026 (último registro: out/2025)</t>
  </si>
  <si>
    <t>Retém 100% do próprio crédito</t>
  </si>
  <si>
    <t>Aguardando definição do rateio — usina em implantação</t>
  </si>
  <si>
    <t>Legenda de cores:</t>
  </si>
  <si>
    <t>Laranja = código injetor (gerador) puro, retém 0%</t>
  </si>
  <si>
    <t>Azul claro = injetor que também é 100% beneficiário (autoconsumo remoto)</t>
  </si>
  <si>
    <t>Verde = código beneficiário (recebe rateio de crédito)</t>
  </si>
  <si>
    <t>Amarelo = usina em construção, a preencher quando o rateio for definido</t>
  </si>
  <si>
    <t>Dados Mensais por Código de Cliente — Histórico</t>
  </si>
  <si>
    <t>TABELA CUMULATIVA: a cada mês, adicione uma nova linha por código de cliente (injetor e beneficiários) com os dados de consumo/injeção</t>
  </si>
  <si>
    <t>Código Cliente</t>
  </si>
  <si>
    <t>Posto Horário</t>
  </si>
  <si>
    <t>Energia Consumida (kWh)</t>
  </si>
  <si>
    <t>Energia Injetada (kWh)</t>
  </si>
  <si>
    <t>Energ. Exc. Alocada (kWh)</t>
  </si>
  <si>
    <t>KWH Compensado</t>
  </si>
  <si>
    <t>Energia Faturada (kWh)</t>
  </si>
  <si>
    <t>Crédito (kWh)</t>
  </si>
  <si>
    <t>Injetor</t>
  </si>
  <si>
    <t>TT</t>
  </si>
  <si>
    <t>Injetor/Beneficiário</t>
  </si>
  <si>
    <t>—</t>
  </si>
  <si>
    <t>Obs.: linhas sem dados (—) indicam que o relatório não trouxe registro de consumo para essa unidade nos últimos 13 meses. A cada novo mês, adicione novas linhas (não sobrescreva) para manter o histórico completo.</t>
  </si>
  <si>
    <t>Série Histórica — Saldo de Crédito por Usina (gerado automaticamente)</t>
  </si>
  <si>
    <t>Não editar. Esta aba alimenta o gráfico de linha do Dashboard e é recalculada sozinha conforme novas competências são lançadas.</t>
  </si>
  <si>
    <t>4 / 8</t>
  </si>
  <si>
    <t>FATURA COSERN</t>
  </si>
  <si>
    <t>CONTRATO CLIENTE</t>
  </si>
  <si>
    <t>Mês</t>
  </si>
  <si>
    <t>Preco (R$ x KWh)</t>
  </si>
  <si>
    <t>Cód. Interno</t>
  </si>
  <si>
    <t>TRI007</t>
  </si>
  <si>
    <t>TRI008</t>
  </si>
  <si>
    <t>TRI002</t>
  </si>
  <si>
    <t>TRI001</t>
  </si>
  <si>
    <t>Série Histórica — Energia Injetada por Usina (gerado automaticamente)</t>
  </si>
  <si>
    <t>Não editar. Esta aba alimenta o gráfico de linha de energia injetada do Dashboard e é recalculada sozinha conforme novas competências são lançadas.</t>
  </si>
  <si>
    <t>ARCO-IRIS</t>
  </si>
  <si>
    <t>SAF HOSPEDAGENS</t>
  </si>
  <si>
    <t>JM EMPREENDIMENTOS</t>
  </si>
  <si>
    <t>SOMBRA FLORESTA</t>
  </si>
  <si>
    <t>ARCO IRIS ADMINISTRADORA</t>
  </si>
  <si>
    <t>Preço R$/KWh</t>
  </si>
  <si>
    <t>Preço R$/KWh (-) 30%</t>
  </si>
  <si>
    <t>VALOR DE COBRANÇA</t>
  </si>
  <si>
    <t>06036746/0001-31</t>
  </si>
  <si>
    <t>05311448/0001-40</t>
  </si>
  <si>
    <t>07059083/0001-33</t>
  </si>
  <si>
    <t>Configurações - emissao NF:</t>
  </si>
  <si>
    <t>Cód. De tributação nacional:</t>
  </si>
  <si>
    <t>990101 - serviço sem a incidência de ISSQN e ICMS</t>
  </si>
  <si>
    <t>NBS:</t>
  </si>
  <si>
    <t>1.1101.90.00 - arrendamento mercantil operacional ou locação de máquinas e equipamentos, sem operador, não classificado em subposições anteriores</t>
  </si>
  <si>
    <t>Subtitem:</t>
  </si>
  <si>
    <t>99.04.01 - Locação de Bens Móveis</t>
  </si>
  <si>
    <t>Descrição</t>
  </si>
  <si>
    <t>Doc Referencia</t>
  </si>
  <si>
    <t>Info Comple</t>
  </si>
  <si>
    <t>O valor cobrado já está com desconto de 30% previsto em contrato.</t>
  </si>
  <si>
    <r>
      <t xml:space="preserve">ALUGUEL DE SISTEMA FOTO VOLTAICO - COD. CLIENTE </t>
    </r>
    <r>
      <rPr>
        <sz val="8"/>
        <color rgb="FFFF0000"/>
        <rFont val="Calibri"/>
        <family val="2"/>
      </rPr>
      <t xml:space="preserve">7030102643 </t>
    </r>
    <r>
      <rPr>
        <sz val="8"/>
        <color theme="1"/>
        <rFont val="Calibri"/>
        <family val="2"/>
        <charset val="1"/>
      </rPr>
      <t>(TRI STAR ENERBRAS ONE SCP)</t>
    </r>
  </si>
  <si>
    <t>Saldo anterior</t>
  </si>
  <si>
    <t>Crédito Transf. Outra UC</t>
  </si>
  <si>
    <t>Crédito Rec. De Outra UC Ger</t>
  </si>
  <si>
    <t>ATENCAO: demonstrativo ago/2026 mostra injetor com 0% de retencao propria (antes 100% autoconsumo, vigente ate jul/2026) e um NOVO codigo beneficiario 7031138749 com 100% no Resumo do Saldo de Credito por Unidade. Sem historico de consumo nos ultimos 13 meses para o novo codigo. CONFIRMAR mudanca de rateio com a distribuidora antes de considerar definitiva.</t>
  </si>
  <si>
    <t>7031138749</t>
  </si>
  <si>
    <t>Novo codigo beneficiario identificado pela primeira vez no demonstrativo ago/2026 (Resumo do Saldo de Credito por Unidade), com 100% de rateio. Sem historico de consumo nos ultimos 13 meses (nao aparece na tabela de Dados dos Ultimos 13 Meses do relatorio) e saldo credito acumulado 0,00. Confirmar com a distribuidora se a unidade esta ativa antes de tratar como definitivo.</t>
  </si>
  <si>
    <t>Unidade Consumidora</t>
  </si>
  <si>
    <t>228590203276</t>
  </si>
  <si>
    <t>233150603260</t>
  </si>
  <si>
    <t>204708803230</t>
  </si>
  <si>
    <t>231291203225</t>
  </si>
  <si>
    <t>211634203208</t>
  </si>
  <si>
    <t>206313103215</t>
  </si>
  <si>
    <t>217456303200</t>
  </si>
  <si>
    <t>Total Injetado por Usina — Acumulado até a Competência Escolhida</t>
  </si>
  <si>
    <t>concatenar</t>
  </si>
  <si>
    <t>Total Injetado até Competência referenciada (kWh)</t>
  </si>
  <si>
    <t xml:space="preserve"> 218723703243</t>
  </si>
  <si>
    <t>99953603243</t>
  </si>
  <si>
    <t>235633803274</t>
  </si>
  <si>
    <t>7027595701</t>
  </si>
  <si>
    <t>TRI003</t>
  </si>
  <si>
    <t>Rateado para 4 UCs externas</t>
  </si>
  <si>
    <t>Rateado para 1 UC externa</t>
  </si>
  <si>
    <r>
      <t>COMP. 10</t>
    </r>
    <r>
      <rPr>
        <sz val="8"/>
        <color rgb="FFFF0000"/>
        <rFont val="Calibri"/>
        <family val="2"/>
      </rPr>
      <t>/2026</t>
    </r>
    <r>
      <rPr>
        <sz val="8"/>
        <color theme="1"/>
        <rFont val="Calibri"/>
        <family val="2"/>
        <charset val="1"/>
      </rPr>
      <t xml:space="preserve"> - ENERGIA INJETADA: </t>
    </r>
    <r>
      <rPr>
        <sz val="8"/>
        <color rgb="FFFF0000"/>
        <rFont val="Calibri"/>
        <family val="2"/>
      </rPr>
      <t>338</t>
    </r>
    <r>
      <rPr>
        <sz val="8"/>
        <color theme="1"/>
        <rFont val="Calibri"/>
        <family val="2"/>
        <charset val="1"/>
      </rPr>
      <t xml:space="preserve"> kWh. Preço da energia (TUSD + TE) injetada sem o desconto: </t>
    </r>
    <r>
      <rPr>
        <sz val="8"/>
        <color rgb="FFFF0000"/>
        <rFont val="Calibri"/>
        <family val="2"/>
      </rPr>
      <t>R$ 1,02847597</t>
    </r>
    <r>
      <rPr>
        <sz val="8"/>
        <color theme="1"/>
        <rFont val="Calibri"/>
        <family val="2"/>
        <charset val="1"/>
      </rPr>
      <t>/kWh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</si>
</sst>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/yyyy"/>
    <numFmt numFmtId="165" formatCode="[$R$-416]\ #,##0.00000000;[Red]\-[$R$-416]\ #,##0.00000000"/>
    <numFmt numFmtId="166" formatCode="#,##0.0000000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4"/>
      <color rgb="FF1F4E78"/>
      <name val="Arial"/>
      <family val="2"/>
    </font>
    <font>
      <b/>
      <sz val="13"/>
      <color rgb="FF1F4E78"/>
      <name val="Arial"/>
      <family val="2"/>
    </font>
    <font>
      <sz val="11"/>
      <color theme="1"/>
      <name val="Calibri"/>
      <family val="2"/>
      <charset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4"/>
      <color rgb="FFFFFFFF"/>
      <name val="Arial"/>
      <family val="2"/>
    </font>
    <font>
      <b/>
      <sz val="8"/>
      <color rgb="FF1F4E78"/>
      <name val="Arial"/>
      <family val="2"/>
    </font>
    <font>
      <i/>
      <sz val="8"/>
      <color rgb="FF595959"/>
      <name val="Arial"/>
      <family val="2"/>
    </font>
    <font>
      <b/>
      <sz val="8"/>
      <color rgb="FF9C0006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i/>
      <sz val="8"/>
      <color rgb="FF808080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</font>
    <font>
      <sz val="8"/>
      <color rgb="FFFF0000"/>
      <name val="Calibri"/>
      <family val="2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008000"/>
      </patternFill>
    </fill>
    <fill>
      <patternFill patternType="solid">
        <fgColor rgb="FFB7472A"/>
        <bgColor rgb="FFBE4B48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10" fillId="0" borderId="0" xfId="2" applyFont="1"/>
    <xf numFmtId="0" fontId="11" fillId="0" borderId="0" xfId="2" applyFont="1"/>
    <xf numFmtId="0" fontId="1" fillId="0" borderId="0" xfId="2"/>
    <xf numFmtId="0" fontId="11" fillId="0" borderId="3" xfId="2" applyFont="1" applyBorder="1" applyAlignment="1">
      <alignment horizontal="center" vertical="center"/>
    </xf>
    <xf numFmtId="17" fontId="10" fillId="0" borderId="4" xfId="2" applyNumberFormat="1" applyFont="1" applyBorder="1" applyAlignment="1">
      <alignment horizontal="center" vertical="center"/>
    </xf>
    <xf numFmtId="165" fontId="10" fillId="0" borderId="5" xfId="2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/>
    <xf numFmtId="164" fontId="18" fillId="0" borderId="2" xfId="0" applyNumberFormat="1" applyFont="1" applyBorder="1"/>
    <xf numFmtId="4" fontId="18" fillId="0" borderId="2" xfId="0" applyNumberFormat="1" applyFont="1" applyBorder="1"/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43" fontId="10" fillId="0" borderId="0" xfId="1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164" fontId="18" fillId="0" borderId="2" xfId="0" applyNumberFormat="1" applyFont="1" applyBorder="1" applyAlignment="1">
      <alignment vertical="center"/>
    </xf>
    <xf numFmtId="4" fontId="18" fillId="0" borderId="2" xfId="0" applyNumberFormat="1" applyFont="1" applyBorder="1" applyAlignment="1">
      <alignment vertical="center"/>
    </xf>
    <xf numFmtId="9" fontId="18" fillId="0" borderId="2" xfId="0" applyNumberFormat="1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164" fontId="19" fillId="0" borderId="2" xfId="0" applyNumberFormat="1" applyFont="1" applyBorder="1" applyAlignment="1">
      <alignment vertical="center"/>
    </xf>
    <xf numFmtId="4" fontId="19" fillId="0" borderId="2" xfId="0" applyNumberFormat="1" applyFont="1" applyBorder="1" applyAlignment="1">
      <alignment vertical="center"/>
    </xf>
    <xf numFmtId="9" fontId="19" fillId="0" borderId="2" xfId="0" applyNumberFormat="1" applyFont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4" fontId="20" fillId="6" borderId="2" xfId="0" applyNumberFormat="1" applyFont="1" applyFill="1" applyBorder="1" applyAlignment="1">
      <alignment vertical="center"/>
    </xf>
    <xf numFmtId="0" fontId="21" fillId="0" borderId="0" xfId="0" applyFont="1"/>
    <xf numFmtId="0" fontId="21" fillId="3" borderId="2" xfId="0" applyFont="1" applyFill="1" applyBorder="1"/>
    <xf numFmtId="4" fontId="21" fillId="3" borderId="2" xfId="0" applyNumberFormat="1" applyFont="1" applyFill="1" applyBorder="1"/>
    <xf numFmtId="164" fontId="21" fillId="3" borderId="2" xfId="0" applyNumberFormat="1" applyFont="1" applyFill="1" applyBorder="1"/>
    <xf numFmtId="0" fontId="18" fillId="7" borderId="2" xfId="0" applyFont="1" applyFill="1" applyBorder="1" applyAlignment="1">
      <alignment vertical="center" wrapText="1"/>
    </xf>
    <xf numFmtId="0" fontId="18" fillId="8" borderId="2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vertical="center" wrapText="1"/>
    </xf>
    <xf numFmtId="0" fontId="17" fillId="2" borderId="2" xfId="0" applyFont="1" applyFill="1" applyBorder="1" applyAlignment="1">
      <alignment horizontal="center" vertical="center"/>
    </xf>
    <xf numFmtId="166" fontId="18" fillId="0" borderId="2" xfId="0" applyNumberFormat="1" applyFont="1" applyBorder="1"/>
    <xf numFmtId="0" fontId="14" fillId="0" borderId="0" xfId="0" applyFont="1"/>
    <xf numFmtId="0" fontId="22" fillId="0" borderId="0" xfId="0" applyFont="1"/>
    <xf numFmtId="0" fontId="21" fillId="0" borderId="0" xfId="0" applyFont="1" applyAlignment="1">
      <alignment wrapText="1"/>
    </xf>
    <xf numFmtId="0" fontId="22" fillId="0" borderId="0" xfId="0" applyFont="1" applyAlignment="1">
      <alignment vertical="center"/>
    </xf>
    <xf numFmtId="0" fontId="18" fillId="0" borderId="2" xfId="0" quotePrefix="1" applyFont="1" applyBorder="1"/>
    <xf numFmtId="0" fontId="21" fillId="0" borderId="0" xfId="0" applyFont="1" applyAlignment="1">
      <alignment vertical="center"/>
    </xf>
    <xf numFmtId="0" fontId="18" fillId="7" borderId="2" xfId="0" applyFont="1" applyFill="1" applyBorder="1" applyAlignment="1">
      <alignment vertical="center"/>
    </xf>
    <xf numFmtId="9" fontId="18" fillId="7" borderId="2" xfId="0" applyNumberFormat="1" applyFont="1" applyFill="1" applyBorder="1" applyAlignment="1">
      <alignment vertical="center"/>
    </xf>
    <xf numFmtId="164" fontId="18" fillId="7" borderId="2" xfId="0" applyNumberFormat="1" applyFont="1" applyFill="1" applyBorder="1" applyAlignment="1">
      <alignment vertical="center"/>
    </xf>
    <xf numFmtId="0" fontId="18" fillId="8" borderId="2" xfId="0" applyFont="1" applyFill="1" applyBorder="1" applyAlignment="1">
      <alignment vertical="center"/>
    </xf>
    <xf numFmtId="9" fontId="18" fillId="8" borderId="2" xfId="0" applyNumberFormat="1" applyFont="1" applyFill="1" applyBorder="1" applyAlignment="1">
      <alignment vertical="center"/>
    </xf>
    <xf numFmtId="164" fontId="18" fillId="8" borderId="2" xfId="0" applyNumberFormat="1" applyFont="1" applyFill="1" applyBorder="1" applyAlignment="1">
      <alignment vertical="center"/>
    </xf>
    <xf numFmtId="0" fontId="18" fillId="6" borderId="2" xfId="0" applyFont="1" applyFill="1" applyBorder="1" applyAlignment="1">
      <alignment vertical="center"/>
    </xf>
    <xf numFmtId="9" fontId="18" fillId="6" borderId="2" xfId="0" applyNumberFormat="1" applyFont="1" applyFill="1" applyBorder="1" applyAlignment="1">
      <alignment vertical="center"/>
    </xf>
    <xf numFmtId="164" fontId="18" fillId="6" borderId="2" xfId="0" applyNumberFormat="1" applyFont="1" applyFill="1" applyBorder="1" applyAlignment="1">
      <alignment vertical="center"/>
    </xf>
    <xf numFmtId="0" fontId="18" fillId="8" borderId="2" xfId="0" quotePrefix="1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9" fontId="18" fillId="3" borderId="2" xfId="0" applyNumberFormat="1" applyFont="1" applyFill="1" applyBorder="1" applyAlignment="1">
      <alignment vertical="center"/>
    </xf>
    <xf numFmtId="164" fontId="18" fillId="3" borderId="2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12" fillId="4" borderId="0" xfId="0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0" fontId="12" fillId="5" borderId="0" xfId="0" quotePrefix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4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/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8" fillId="0" borderId="0" xfId="0" applyFont="1"/>
    <xf numFmtId="0" fontId="14" fillId="0" borderId="0" xfId="0" applyFont="1"/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7" fillId="0" borderId="0" xfId="0" applyFont="1"/>
    <xf numFmtId="0" fontId="14" fillId="0" borderId="0" xfId="0" applyFont="1" applyAlignment="1">
      <alignment wrapText="1"/>
    </xf>
    <xf numFmtId="0" fontId="18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8" fillId="7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17" fontId="18" fillId="0" borderId="2" xfId="0" applyNumberFormat="1" applyFont="1" applyBorder="1"/>
    <xf numFmtId="0" fontId="18" fillId="0" borderId="2" xfId="0" applyFont="1" applyBorder="1" applyAlignment="1">
      <alignment horizontal="center"/>
    </xf>
    <xf numFmtId="0" fontId="18" fillId="0" borderId="2" xfId="0" quotePrefix="1" applyFont="1" applyBorder="1" applyAlignment="1">
      <alignment horizontal="center"/>
    </xf>
    <xf numFmtId="164" fontId="24" fillId="0" borderId="2" xfId="0" applyNumberFormat="1" applyFont="1" applyBorder="1" applyAlignment="1">
      <alignment vertical="center"/>
    </xf>
  </cellXfs>
  <cellStyles count="3">
    <cellStyle name="Normal" xfId="0" builtinId="0"/>
    <cellStyle name="Normal 2" xfId="2" xr:uid="{B8776CCE-F3A1-4DB4-85C6-D977922FD32D}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BBB59"/>
      <rgbColor rgb="FF800080"/>
      <rgbColor rgb="FF4F81BD"/>
      <rgbColor rgb="FFBFBFBF"/>
      <rgbColor rgb="FF808080"/>
      <rgbColor rgb="FF8064A2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003366"/>
      <rgbColor rgb="FF2E7D32"/>
      <rgbColor rgb="FF003300"/>
      <rgbColor rgb="FF333300"/>
      <rgbColor rgb="FFB7472A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do Total de Energia Injetada entre Usinas — competência escolhida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Dashboard!$G$11</c:f>
              <c:strCache>
                <c:ptCount val="1"/>
                <c:pt idx="0">
                  <c:v>Total Injetado (kWh)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AC-4C77-A82E-0D83FA37A7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AC-4C77-A82E-0D83FA37A7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AC-4C77-A82E-0D83FA37A7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AC-4C77-A82E-0D83FA37A7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dLbl>
              <c:idx val="0"/>
              <c:spPr>
                <a:noFill/>
                <a:ln>
                  <a:solidFill>
                    <a:schemeClr val="dk1">
                      <a:lumMod val="65000"/>
                      <a:lumOff val="35000"/>
                    </a:schemeClr>
                  </a:solidFill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ysClr val="windowText" lastClr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7AC-4C77-A82E-0D83FA37A7B9}"/>
                </c:ext>
              </c:extLst>
            </c:dLbl>
            <c:dLbl>
              <c:idx val="1"/>
              <c:spPr>
                <a:noFill/>
                <a:ln>
                  <a:solidFill>
                    <a:schemeClr val="dk1">
                      <a:lumMod val="65000"/>
                      <a:lumOff val="35000"/>
                    </a:schemeClr>
                  </a:solidFill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ysClr val="windowText" lastClr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7AC-4C77-A82E-0D83FA37A7B9}"/>
                </c:ext>
              </c:extLst>
            </c:dLbl>
            <c:dLbl>
              <c:idx val="2"/>
              <c:spPr>
                <a:noFill/>
                <a:ln>
                  <a:solidFill>
                    <a:schemeClr val="dk1">
                      <a:lumMod val="65000"/>
                      <a:lumOff val="35000"/>
                    </a:schemeClr>
                  </a:solidFill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ysClr val="windowText" lastClr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7AC-4C77-A82E-0D83FA37A7B9}"/>
                </c:ext>
              </c:extLst>
            </c:dLbl>
            <c:dLbl>
              <c:idx val="3"/>
              <c:spPr>
                <a:noFill/>
                <a:ln>
                  <a:solidFill>
                    <a:schemeClr val="dk1">
                      <a:lumMod val="65000"/>
                      <a:lumOff val="35000"/>
                    </a:schemeClr>
                  </a:solidFill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ysClr val="windowText" lastClr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B7AC-4C77-A82E-0D83FA37A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ysClr val="windowText" lastClr="000000"/>
                    </a:solidFill>
                    <a:latin typeface="Arial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Dashboard!$C$12:$C$21</c:f>
              <c:strCache>
                <c:ptCount val="5"/>
                <c:pt idx="0">
                  <c:v>TRI007</c:v>
                </c:pt>
                <c:pt idx="1">
                  <c:v>TRI008</c:v>
                </c:pt>
                <c:pt idx="2">
                  <c:v>TRI002</c:v>
                </c:pt>
                <c:pt idx="3">
                  <c:v>TRI001</c:v>
                </c:pt>
                <c:pt idx="4">
                  <c:v>TRI003</c:v>
                </c:pt>
              </c:strCache>
            </c:strRef>
          </c:cat>
          <c:val>
            <c:numRef>
              <c:f>Dashboard!$G$12:$G$16</c:f>
              <c:numCache>
                <c:formatCode>#,##0.00</c:formatCode>
                <c:ptCount val="5"/>
                <c:pt idx="0">
                  <c:v>4368</c:v>
                </c:pt>
                <c:pt idx="1">
                  <c:v>15158</c:v>
                </c:pt>
                <c:pt idx="2">
                  <c:v>7136</c:v>
                </c:pt>
                <c:pt idx="3">
                  <c:v>19215</c:v>
                </c:pt>
                <c:pt idx="4">
                  <c:v>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C-4C77-A82E-0D83FA37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Evolução da Energia Injetada por Usina ao Longo do Tempo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'Faturamento (Não Editar)'!$B$6</c:f>
              <c:strCache>
                <c:ptCount val="1"/>
                <c:pt idx="0">
                  <c:v>ARCO-IRIS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Editar)'!$B$7:$B$42</c:f>
              <c:numCache>
                <c:formatCode>#,##0.00</c:formatCode>
                <c:ptCount val="36"/>
                <c:pt idx="0">
                  <c:v>338</c:v>
                </c:pt>
                <c:pt idx="1">
                  <c:v>3425</c:v>
                </c:pt>
                <c:pt idx="2">
                  <c:v>4699</c:v>
                </c:pt>
                <c:pt idx="3">
                  <c:v>4368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92-4C1D-A89E-DFFA9766740B}"/>
            </c:ext>
          </c:extLst>
        </c:ser>
        <c:ser>
          <c:idx val="1"/>
          <c:order val="1"/>
          <c:tx>
            <c:strRef>
              <c:f>'Faturamento (Não Editar)'!$E$6</c:f>
              <c:strCache>
                <c:ptCount val="1"/>
                <c:pt idx="0">
                  <c:v>JM EMPREENDIMENTOS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Editar)'!$E$7:$E$42</c:f>
              <c:numCache>
                <c:formatCode>#,##0.00</c:formatCode>
                <c:ptCount val="36"/>
                <c:pt idx="0">
                  <c:v>1158</c:v>
                </c:pt>
                <c:pt idx="1">
                  <c:v>3334</c:v>
                </c:pt>
                <c:pt idx="2">
                  <c:v>3223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2-4C1D-A89E-DFFA9766740B}"/>
            </c:ext>
          </c:extLst>
        </c:ser>
        <c:ser>
          <c:idx val="2"/>
          <c:order val="2"/>
          <c:tx>
            <c:strRef>
              <c:f>'Faturamento (Não Editar)'!$D$6</c:f>
              <c:strCache>
                <c:ptCount val="1"/>
                <c:pt idx="0">
                  <c:v>SAF HOSPEDAGENS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Editar)'!$D$7:$D$42</c:f>
              <c:numCache>
                <c:formatCode>#,##0.00</c:formatCode>
                <c:ptCount val="36"/>
                <c:pt idx="0">
                  <c:v>875</c:v>
                </c:pt>
                <c:pt idx="1">
                  <c:v>3585</c:v>
                </c:pt>
                <c:pt idx="2">
                  <c:v>4371</c:v>
                </c:pt>
                <c:pt idx="3">
                  <c:v>6327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92-4C1D-A89E-DFFA9766740B}"/>
            </c:ext>
          </c:extLst>
        </c:ser>
        <c:ser>
          <c:idx val="0"/>
          <c:order val="3"/>
          <c:tx>
            <c:strRef>
              <c:f>'Faturamento (Não Editar)'!$F$6</c:f>
              <c:strCache>
                <c:ptCount val="1"/>
                <c:pt idx="0">
                  <c:v>SOMBRA FLORESTA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Editar)'!$F$7:$F$42</c:f>
              <c:numCache>
                <c:formatCode>#,##0.00</c:formatCode>
                <c:ptCount val="36"/>
                <c:pt idx="0">
                  <c:v>608</c:v>
                </c:pt>
                <c:pt idx="1">
                  <c:v>3322</c:v>
                </c:pt>
                <c:pt idx="2">
                  <c:v>5152</c:v>
                </c:pt>
                <c:pt idx="3">
                  <c:v>10133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2-4C1D-A89E-DFFA97667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735487"/>
        <c:axId val="822744607"/>
      </c:lineChart>
      <c:dateAx>
        <c:axId val="82273548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2744607"/>
        <c:crosses val="autoZero"/>
        <c:auto val="1"/>
        <c:lblOffset val="100"/>
        <c:baseTimeUnit val="months"/>
      </c:dateAx>
      <c:valAx>
        <c:axId val="8227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273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4</xdr:row>
      <xdr:rowOff>136860</xdr:rowOff>
    </xdr:from>
    <xdr:to>
      <xdr:col>20</xdr:col>
      <xdr:colOff>323849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14</xdr:row>
      <xdr:rowOff>85725</xdr:rowOff>
    </xdr:from>
    <xdr:to>
      <xdr:col>20</xdr:col>
      <xdr:colOff>400050</xdr:colOff>
      <xdr:row>38</xdr:row>
      <xdr:rowOff>409575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516058-F141-4C02-A182-A7EC12F56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opLeftCell="A13" zoomScaleNormal="100" workbookViewId="0">
      <selection sqref="A1:F1"/>
    </sheetView>
  </sheetViews>
  <sheetFormatPr defaultColWidth="8.7109375" defaultRowHeight="15" x14ac:dyDescent="0.25"/>
  <cols>
    <col min="1" max="1" width="100" customWidth="1"/>
    <col min="2" max="6" width="2" customWidth="1"/>
  </cols>
  <sheetData>
    <row r="1" spans="1:6" ht="25.5" customHeight="1" x14ac:dyDescent="0.3">
      <c r="A1" s="76" t="s">
        <v>0</v>
      </c>
      <c r="B1" s="76"/>
      <c r="C1" s="76"/>
      <c r="D1" s="76"/>
      <c r="E1" s="76"/>
      <c r="F1" s="76"/>
    </row>
    <row r="2" spans="1:6" ht="15.75" customHeight="1" x14ac:dyDescent="0.25">
      <c r="A2" s="77" t="s">
        <v>1</v>
      </c>
      <c r="B2" s="77"/>
      <c r="C2" s="77"/>
      <c r="D2" s="77"/>
      <c r="E2" s="77"/>
      <c r="F2" s="77"/>
    </row>
    <row r="4" spans="1:6" ht="19.5" customHeight="1" x14ac:dyDescent="0.25">
      <c r="A4" s="75" t="s">
        <v>2</v>
      </c>
      <c r="B4" s="75"/>
      <c r="C4" s="75"/>
      <c r="D4" s="75"/>
      <c r="E4" s="75"/>
      <c r="F4" s="75"/>
    </row>
    <row r="5" spans="1:6" ht="27.75" customHeight="1" x14ac:dyDescent="0.25">
      <c r="A5" s="74" t="s">
        <v>3</v>
      </c>
      <c r="B5" s="74"/>
      <c r="C5" s="74"/>
      <c r="D5" s="74"/>
      <c r="E5" s="74"/>
      <c r="F5" s="74"/>
    </row>
    <row r="6" spans="1:6" ht="27.75" customHeight="1" x14ac:dyDescent="0.25">
      <c r="A6" s="74" t="s">
        <v>4</v>
      </c>
      <c r="B6" s="74"/>
      <c r="C6" s="74"/>
      <c r="D6" s="74"/>
      <c r="E6" s="74"/>
      <c r="F6" s="74"/>
    </row>
    <row r="7" spans="1:6" ht="27.75" customHeight="1" x14ac:dyDescent="0.25">
      <c r="A7" s="74" t="s">
        <v>5</v>
      </c>
      <c r="B7" s="74"/>
      <c r="C7" s="74"/>
      <c r="D7" s="74"/>
      <c r="E7" s="74"/>
      <c r="F7" s="74"/>
    </row>
    <row r="8" spans="1:6" ht="27.75" customHeight="1" x14ac:dyDescent="0.25">
      <c r="A8" s="74" t="s">
        <v>6</v>
      </c>
      <c r="B8" s="74"/>
      <c r="C8" s="74"/>
      <c r="D8" s="74"/>
      <c r="E8" s="74"/>
      <c r="F8" s="74"/>
    </row>
    <row r="9" spans="1:6" ht="27.75" customHeight="1" x14ac:dyDescent="0.25">
      <c r="A9" s="74" t="s">
        <v>7</v>
      </c>
      <c r="B9" s="74"/>
      <c r="C9" s="74"/>
      <c r="D9" s="74"/>
      <c r="E9" s="74"/>
      <c r="F9" s="74"/>
    </row>
    <row r="11" spans="1:6" ht="19.5" customHeight="1" x14ac:dyDescent="0.25">
      <c r="A11" s="75" t="s">
        <v>8</v>
      </c>
      <c r="B11" s="75"/>
      <c r="C11" s="75"/>
      <c r="D11" s="75"/>
      <c r="E11" s="75"/>
      <c r="F11" s="75"/>
    </row>
    <row r="12" spans="1:6" ht="27.75" customHeight="1" x14ac:dyDescent="0.25">
      <c r="A12" s="74" t="s">
        <v>9</v>
      </c>
      <c r="B12" s="74"/>
      <c r="C12" s="74"/>
      <c r="D12" s="74"/>
      <c r="E12" s="74"/>
      <c r="F12" s="74"/>
    </row>
    <row r="13" spans="1:6" ht="27.75" customHeight="1" x14ac:dyDescent="0.25">
      <c r="A13" s="74" t="s">
        <v>10</v>
      </c>
      <c r="B13" s="74"/>
      <c r="C13" s="74"/>
      <c r="D13" s="74"/>
      <c r="E13" s="74"/>
      <c r="F13" s="74"/>
    </row>
    <row r="14" spans="1:6" ht="27.75" customHeight="1" x14ac:dyDescent="0.25">
      <c r="A14" s="74" t="s">
        <v>11</v>
      </c>
      <c r="B14" s="74"/>
      <c r="C14" s="74"/>
      <c r="D14" s="74"/>
      <c r="E14" s="74"/>
      <c r="F14" s="74"/>
    </row>
    <row r="15" spans="1:6" ht="27.75" customHeight="1" x14ac:dyDescent="0.25">
      <c r="A15" s="74" t="s">
        <v>12</v>
      </c>
      <c r="B15" s="74"/>
      <c r="C15" s="74"/>
      <c r="D15" s="74"/>
      <c r="E15" s="74"/>
      <c r="F15" s="74"/>
    </row>
    <row r="17" spans="1:6" ht="19.5" customHeight="1" x14ac:dyDescent="0.25">
      <c r="A17" s="75" t="s">
        <v>13</v>
      </c>
      <c r="B17" s="75"/>
      <c r="C17" s="75"/>
      <c r="D17" s="75"/>
      <c r="E17" s="75"/>
      <c r="F17" s="75"/>
    </row>
    <row r="18" spans="1:6" ht="27.75" customHeight="1" x14ac:dyDescent="0.25">
      <c r="A18" s="74" t="s">
        <v>14</v>
      </c>
      <c r="B18" s="74"/>
      <c r="C18" s="74"/>
      <c r="D18" s="74"/>
      <c r="E18" s="74"/>
      <c r="F18" s="74"/>
    </row>
    <row r="19" spans="1:6" ht="27.75" customHeight="1" x14ac:dyDescent="0.25">
      <c r="A19" s="74" t="s">
        <v>15</v>
      </c>
      <c r="B19" s="74"/>
      <c r="C19" s="74"/>
      <c r="D19" s="74"/>
      <c r="E19" s="74"/>
      <c r="F19" s="74"/>
    </row>
    <row r="20" spans="1:6" ht="27.75" customHeight="1" x14ac:dyDescent="0.25">
      <c r="A20" s="74" t="s">
        <v>16</v>
      </c>
      <c r="B20" s="74"/>
      <c r="C20" s="74"/>
      <c r="D20" s="74"/>
      <c r="E20" s="74"/>
      <c r="F20" s="74"/>
    </row>
    <row r="21" spans="1:6" ht="27.75" customHeight="1" x14ac:dyDescent="0.25">
      <c r="A21" s="74" t="s">
        <v>17</v>
      </c>
      <c r="B21" s="74"/>
      <c r="C21" s="74"/>
      <c r="D21" s="74"/>
      <c r="E21" s="74"/>
      <c r="F21" s="74"/>
    </row>
    <row r="22" spans="1:6" ht="27.75" customHeight="1" x14ac:dyDescent="0.25">
      <c r="A22" s="74" t="s">
        <v>18</v>
      </c>
      <c r="B22" s="74"/>
      <c r="C22" s="74"/>
      <c r="D22" s="74"/>
      <c r="E22" s="74"/>
      <c r="F22" s="74"/>
    </row>
    <row r="24" spans="1:6" ht="19.5" customHeight="1" x14ac:dyDescent="0.25">
      <c r="A24" s="75" t="s">
        <v>19</v>
      </c>
      <c r="B24" s="75"/>
      <c r="C24" s="75"/>
      <c r="D24" s="75"/>
      <c r="E24" s="75"/>
      <c r="F24" s="75"/>
    </row>
    <row r="25" spans="1:6" ht="27.75" customHeight="1" x14ac:dyDescent="0.25">
      <c r="A25" s="74" t="s">
        <v>20</v>
      </c>
      <c r="B25" s="74"/>
      <c r="C25" s="74"/>
      <c r="D25" s="74"/>
      <c r="E25" s="74"/>
      <c r="F25" s="74"/>
    </row>
    <row r="26" spans="1:6" ht="27.75" customHeight="1" x14ac:dyDescent="0.25">
      <c r="A26" s="74" t="s">
        <v>21</v>
      </c>
      <c r="B26" s="74"/>
      <c r="C26" s="74"/>
      <c r="D26" s="74"/>
      <c r="E26" s="74"/>
      <c r="F26" s="74"/>
    </row>
    <row r="27" spans="1:6" ht="27.75" customHeight="1" x14ac:dyDescent="0.25">
      <c r="A27" s="74" t="s">
        <v>22</v>
      </c>
      <c r="B27" s="74"/>
      <c r="C27" s="74"/>
      <c r="D27" s="74"/>
      <c r="E27" s="74"/>
      <c r="F27" s="74"/>
    </row>
    <row r="28" spans="1:6" ht="27.75" customHeight="1" x14ac:dyDescent="0.25">
      <c r="A28" s="74" t="s">
        <v>23</v>
      </c>
      <c r="B28" s="74"/>
      <c r="C28" s="74"/>
      <c r="D28" s="74"/>
      <c r="E28" s="74"/>
      <c r="F28" s="74"/>
    </row>
    <row r="29" spans="1:6" ht="19.5" customHeight="1" x14ac:dyDescent="0.25">
      <c r="A29" s="75" t="s">
        <v>24</v>
      </c>
      <c r="B29" s="75"/>
      <c r="C29" s="75"/>
      <c r="D29" s="75"/>
      <c r="E29" s="75"/>
      <c r="F29" s="75"/>
    </row>
    <row r="30" spans="1:6" ht="27.75" customHeight="1" x14ac:dyDescent="0.25">
      <c r="A30" s="74" t="s">
        <v>25</v>
      </c>
      <c r="B30" s="74"/>
      <c r="C30" s="74"/>
      <c r="D30" s="74"/>
      <c r="E30" s="74"/>
      <c r="F30" s="74"/>
    </row>
    <row r="31" spans="1:6" ht="27.75" customHeight="1" x14ac:dyDescent="0.25">
      <c r="A31" s="74" t="s">
        <v>26</v>
      </c>
      <c r="B31" s="74"/>
      <c r="C31" s="74"/>
      <c r="D31" s="74"/>
      <c r="E31" s="74"/>
      <c r="F31" s="74"/>
    </row>
    <row r="32" spans="1:6" ht="27.75" customHeight="1" x14ac:dyDescent="0.25">
      <c r="A32" s="74" t="s">
        <v>27</v>
      </c>
      <c r="B32" s="74"/>
      <c r="C32" s="74"/>
      <c r="D32" s="74"/>
      <c r="E32" s="74"/>
      <c r="F32" s="74"/>
    </row>
    <row r="33" spans="1:6" ht="27.75" customHeight="1" x14ac:dyDescent="0.25">
      <c r="A33" s="74" t="s">
        <v>28</v>
      </c>
      <c r="B33" s="74"/>
      <c r="C33" s="74"/>
      <c r="D33" s="74"/>
      <c r="E33" s="74"/>
      <c r="F33" s="74"/>
    </row>
  </sheetData>
  <mergeCells count="29">
    <mergeCell ref="A1:F1"/>
    <mergeCell ref="A2:F2"/>
    <mergeCell ref="A4:F4"/>
    <mergeCell ref="A5:F5"/>
    <mergeCell ref="A6:F6"/>
    <mergeCell ref="A7:F7"/>
    <mergeCell ref="A8:F8"/>
    <mergeCell ref="A9:F9"/>
    <mergeCell ref="A11:F11"/>
    <mergeCell ref="A12:F12"/>
    <mergeCell ref="A13:F13"/>
    <mergeCell ref="A14:F14"/>
    <mergeCell ref="A15:F15"/>
    <mergeCell ref="A17:F17"/>
    <mergeCell ref="A18:F18"/>
    <mergeCell ref="A19:F19"/>
    <mergeCell ref="A20:F20"/>
    <mergeCell ref="A21:F21"/>
    <mergeCell ref="A22:F22"/>
    <mergeCell ref="A24:F24"/>
    <mergeCell ref="A30:F30"/>
    <mergeCell ref="A31:F31"/>
    <mergeCell ref="A32:F32"/>
    <mergeCell ref="A33:F33"/>
    <mergeCell ref="A25:F25"/>
    <mergeCell ref="A26:F26"/>
    <mergeCell ref="A27:F27"/>
    <mergeCell ref="A28:F28"/>
    <mergeCell ref="A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D763-0D16-4774-9479-4F0B16BB297D}">
  <sheetPr>
    <tabColor rgb="FFFFC000"/>
  </sheetPr>
  <dimension ref="A1:Z1000"/>
  <sheetViews>
    <sheetView showGridLines="0" topLeftCell="A2" workbookViewId="0">
      <selection activeCell="B30" sqref="B30"/>
    </sheetView>
  </sheetViews>
  <sheetFormatPr defaultColWidth="12.5703125" defaultRowHeight="15" customHeight="1" x14ac:dyDescent="0.25"/>
  <cols>
    <col min="1" max="1" width="9.140625" style="3" customWidth="1"/>
    <col min="2" max="2" width="14.28515625" style="3" customWidth="1"/>
    <col min="3" max="3" width="15.42578125" style="3" customWidth="1"/>
    <col min="4" max="6" width="9.140625" style="3" customWidth="1"/>
    <col min="7" max="26" width="8.5703125" style="3" customWidth="1"/>
    <col min="27" max="16384" width="12.5703125" style="3"/>
  </cols>
  <sheetData>
    <row r="1" spans="1:26" ht="11.25" customHeight="1" thickBot="1" x14ac:dyDescent="0.3">
      <c r="A1" s="1"/>
      <c r="B1" s="2" t="s">
        <v>130</v>
      </c>
      <c r="C1" s="2" t="s">
        <v>131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 thickBot="1" x14ac:dyDescent="0.3">
      <c r="A2" s="4" t="s">
        <v>132</v>
      </c>
      <c r="B2" s="4" t="s">
        <v>133</v>
      </c>
      <c r="C2" s="4" t="s">
        <v>133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5">
      <c r="A3" s="5">
        <v>45505</v>
      </c>
      <c r="B3" s="6">
        <v>0.94362878000000006</v>
      </c>
      <c r="C3" s="6">
        <f>B3*0.7</f>
        <v>0.66054014599999999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5">
      <c r="A4" s="5">
        <v>45536</v>
      </c>
      <c r="B4" s="6">
        <v>0.94995059000000004</v>
      </c>
      <c r="C4" s="6">
        <f t="shared" ref="C4:C55" si="0">B4*0.7</f>
        <v>0.66496541300000001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 x14ac:dyDescent="0.25">
      <c r="A5" s="5">
        <v>45566</v>
      </c>
      <c r="B5" s="6">
        <v>0.95706369000000002</v>
      </c>
      <c r="C5" s="6">
        <f t="shared" si="0"/>
        <v>0.66994458299999993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5">
      <c r="A6" s="5">
        <v>45597</v>
      </c>
      <c r="B6" s="6">
        <v>0.95655928999999995</v>
      </c>
      <c r="C6" s="6">
        <f t="shared" si="0"/>
        <v>0.66959150299999992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.25" customHeight="1" x14ac:dyDescent="0.25">
      <c r="A7" s="5">
        <v>45627</v>
      </c>
      <c r="B7" s="6">
        <v>0.95686187</v>
      </c>
      <c r="C7" s="6">
        <f t="shared" si="0"/>
        <v>0.66980330899999996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 x14ac:dyDescent="0.25">
      <c r="A8" s="5">
        <v>45658</v>
      </c>
      <c r="B8" s="6">
        <v>0.94304041999999999</v>
      </c>
      <c r="C8" s="6">
        <f t="shared" si="0"/>
        <v>0.66012829399999995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.25" customHeight="1" x14ac:dyDescent="0.25">
      <c r="A9" s="5">
        <v>45689</v>
      </c>
      <c r="B9" s="6">
        <v>0.97621321000000005</v>
      </c>
      <c r="C9" s="6">
        <f t="shared" si="0"/>
        <v>0.68334924699999999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.25" customHeight="1" x14ac:dyDescent="0.25">
      <c r="A10" s="5">
        <v>45717</v>
      </c>
      <c r="B10" s="6">
        <v>0.95797296999999992</v>
      </c>
      <c r="C10" s="6">
        <f t="shared" si="0"/>
        <v>0.67058107899999986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.25" customHeight="1" x14ac:dyDescent="0.25">
      <c r="A11" s="5">
        <v>45748</v>
      </c>
      <c r="B11" s="6">
        <v>0.98119725000000002</v>
      </c>
      <c r="C11" s="6">
        <f t="shared" si="0"/>
        <v>0.68683807499999994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.25" customHeight="1" x14ac:dyDescent="0.25">
      <c r="A12" s="5">
        <v>45778</v>
      </c>
      <c r="B12" s="6">
        <v>0.98489525</v>
      </c>
      <c r="C12" s="6">
        <f t="shared" si="0"/>
        <v>0.68942667499999999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 x14ac:dyDescent="0.25">
      <c r="A13" s="5">
        <v>45809</v>
      </c>
      <c r="B13" s="6">
        <f>0.56795504+0.40914819</f>
        <v>0.97710322999999999</v>
      </c>
      <c r="C13" s="6">
        <f t="shared" si="0"/>
        <v>0.68397226099999997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 x14ac:dyDescent="0.25">
      <c r="A14" s="5">
        <v>45839</v>
      </c>
      <c r="B14" s="6">
        <f>0.57858977+0.41680933</f>
        <v>0.99539909999999998</v>
      </c>
      <c r="C14" s="6">
        <f t="shared" si="0"/>
        <v>0.6967793699999999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1.25" customHeight="1" x14ac:dyDescent="0.25">
      <c r="A15" s="5">
        <v>45870</v>
      </c>
      <c r="B15" s="6">
        <f>0.5770462+0.41569736</f>
        <v>0.99274355999999997</v>
      </c>
      <c r="C15" s="6">
        <f t="shared" si="0"/>
        <v>0.69492049199999995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1.25" customHeight="1" x14ac:dyDescent="0.25">
      <c r="A16" s="5">
        <v>45901</v>
      </c>
      <c r="B16" s="6">
        <f>0.57222222+0.41222222</f>
        <v>0.98444443999999998</v>
      </c>
      <c r="C16" s="6">
        <f t="shared" si="0"/>
        <v>0.68911110799999997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 x14ac:dyDescent="0.25">
      <c r="A17" s="5">
        <v>45931</v>
      </c>
      <c r="B17" s="6">
        <f>0.57723099+0.41583048</f>
        <v>0.99306147</v>
      </c>
      <c r="C17" s="6">
        <f t="shared" si="0"/>
        <v>0.69514302899999991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.25" customHeight="1" x14ac:dyDescent="0.25">
      <c r="A18" s="5">
        <v>45962</v>
      </c>
      <c r="B18" s="6">
        <f t="shared" ref="B18:B19" si="1">0.58283035+0.41986419</f>
        <v>1.00269454</v>
      </c>
      <c r="C18" s="6">
        <f t="shared" si="0"/>
        <v>0.70188617799999997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.25" customHeight="1" x14ac:dyDescent="0.25">
      <c r="A19" s="5">
        <v>45992</v>
      </c>
      <c r="B19" s="6">
        <f t="shared" si="1"/>
        <v>1.00269454</v>
      </c>
      <c r="C19" s="6">
        <f t="shared" si="0"/>
        <v>0.70188617799999997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 x14ac:dyDescent="0.25">
      <c r="A20" s="5">
        <v>46023</v>
      </c>
      <c r="B20" s="6">
        <f>0.5761854+0.41507725</f>
        <v>0.99126264999999991</v>
      </c>
      <c r="C20" s="6">
        <f t="shared" si="0"/>
        <v>0.69388385499999994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 x14ac:dyDescent="0.25">
      <c r="A21" s="5">
        <v>46054</v>
      </c>
      <c r="B21" s="6">
        <f>0.57355748+0.41318413</f>
        <v>0.98674160999999994</v>
      </c>
      <c r="C21" s="6">
        <f t="shared" si="0"/>
        <v>0.69071912699999993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 x14ac:dyDescent="0.25">
      <c r="A22" s="5">
        <v>46082</v>
      </c>
      <c r="B22" s="6">
        <f>0.57575596+0.41476788</f>
        <v>0.99052383999999993</v>
      </c>
      <c r="C22" s="6">
        <f t="shared" si="0"/>
        <v>0.6933666879999999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 x14ac:dyDescent="0.25">
      <c r="A23" s="5">
        <v>46113</v>
      </c>
      <c r="B23" s="6">
        <f>0.57337503+0.41305269</f>
        <v>0.98642772000000001</v>
      </c>
      <c r="C23" s="6">
        <f t="shared" si="0"/>
        <v>0.69049940399999998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 x14ac:dyDescent="0.25">
      <c r="A24" s="5">
        <v>46143</v>
      </c>
      <c r="B24" s="6">
        <f>0.6177727+0.40735685</f>
        <v>1.0251295499999999</v>
      </c>
      <c r="C24" s="6">
        <f t="shared" si="0"/>
        <v>0.71759068499999989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 x14ac:dyDescent="0.25">
      <c r="A25" s="5">
        <v>46174</v>
      </c>
      <c r="B25" s="6">
        <f>0.64164094+0.39033734</f>
        <v>1.0319782800000001</v>
      </c>
      <c r="C25" s="6">
        <f t="shared" si="0"/>
        <v>0.72238479600000005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 x14ac:dyDescent="0.25">
      <c r="A26" s="5">
        <v>46204</v>
      </c>
      <c r="B26" s="6">
        <f>0.64164094+0.39033734</f>
        <v>1.0319782800000001</v>
      </c>
      <c r="C26" s="6">
        <f t="shared" si="0"/>
        <v>0.72238479600000005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 x14ac:dyDescent="0.25">
      <c r="A27" s="5">
        <v>46235</v>
      </c>
      <c r="B27" s="6">
        <f>0.64335253+0.39137857</f>
        <v>1.0347311000000001</v>
      </c>
      <c r="C27" s="6">
        <f t="shared" si="0"/>
        <v>0.72431177000000002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 x14ac:dyDescent="0.25">
      <c r="A28" s="5">
        <v>46266</v>
      </c>
      <c r="B28" s="6">
        <f>0.64966059+0.39521603</f>
        <v>1.0448766199999999</v>
      </c>
      <c r="C28" s="6">
        <f t="shared" si="0"/>
        <v>0.73141363399999992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 x14ac:dyDescent="0.25">
      <c r="A29" s="5">
        <v>46296</v>
      </c>
      <c r="B29" s="6">
        <f>0.63946335+0.38901262</f>
        <v>1.0284759699999999</v>
      </c>
      <c r="C29" s="6">
        <f t="shared" si="0"/>
        <v>0.71993317899999987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.25" customHeight="1" x14ac:dyDescent="0.25">
      <c r="A30" s="5">
        <v>46327</v>
      </c>
      <c r="B30" s="6"/>
      <c r="C30" s="6">
        <f t="shared" si="0"/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.25" customHeight="1" x14ac:dyDescent="0.25">
      <c r="A31" s="5">
        <v>46357</v>
      </c>
      <c r="B31" s="6"/>
      <c r="C31" s="6">
        <f t="shared" si="0"/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 x14ac:dyDescent="0.25">
      <c r="A32" s="5">
        <v>46388</v>
      </c>
      <c r="B32" s="6"/>
      <c r="C32" s="6">
        <f t="shared" si="0"/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 x14ac:dyDescent="0.25">
      <c r="A33" s="5">
        <v>46419</v>
      </c>
      <c r="B33" s="6"/>
      <c r="C33" s="6">
        <f t="shared" si="0"/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 x14ac:dyDescent="0.25">
      <c r="A34" s="5">
        <v>46447</v>
      </c>
      <c r="B34" s="6"/>
      <c r="C34" s="6">
        <f t="shared" si="0"/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 x14ac:dyDescent="0.25">
      <c r="A35" s="5">
        <v>46478</v>
      </c>
      <c r="B35" s="6"/>
      <c r="C35" s="6">
        <f t="shared" si="0"/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 x14ac:dyDescent="0.25">
      <c r="A36" s="5">
        <v>46508</v>
      </c>
      <c r="B36" s="6"/>
      <c r="C36" s="6">
        <f t="shared" si="0"/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 x14ac:dyDescent="0.25">
      <c r="A37" s="5">
        <v>46539</v>
      </c>
      <c r="B37" s="6"/>
      <c r="C37" s="6">
        <f t="shared" si="0"/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 x14ac:dyDescent="0.25">
      <c r="A38" s="5">
        <v>46569</v>
      </c>
      <c r="B38" s="6"/>
      <c r="C38" s="6">
        <f t="shared" si="0"/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 x14ac:dyDescent="0.25">
      <c r="A39" s="5">
        <v>46600</v>
      </c>
      <c r="B39" s="6"/>
      <c r="C39" s="6">
        <f t="shared" si="0"/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 x14ac:dyDescent="0.25">
      <c r="A40" s="5">
        <v>46631</v>
      </c>
      <c r="B40" s="6"/>
      <c r="C40" s="6">
        <f t="shared" si="0"/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 x14ac:dyDescent="0.25">
      <c r="A41" s="5">
        <v>46661</v>
      </c>
      <c r="B41" s="6"/>
      <c r="C41" s="6">
        <f t="shared" si="0"/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 x14ac:dyDescent="0.25">
      <c r="A42" s="5">
        <v>46692</v>
      </c>
      <c r="B42" s="6"/>
      <c r="C42" s="6">
        <f t="shared" si="0"/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 x14ac:dyDescent="0.25">
      <c r="A43" s="5">
        <v>46722</v>
      </c>
      <c r="B43" s="6"/>
      <c r="C43" s="6">
        <f t="shared" si="0"/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 x14ac:dyDescent="0.25">
      <c r="A44" s="5">
        <v>46753</v>
      </c>
      <c r="B44" s="6"/>
      <c r="C44" s="6">
        <f t="shared" si="0"/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 x14ac:dyDescent="0.25">
      <c r="A45" s="5">
        <v>46784</v>
      </c>
      <c r="B45" s="6"/>
      <c r="C45" s="6">
        <f t="shared" si="0"/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 x14ac:dyDescent="0.25">
      <c r="A46" s="5">
        <v>46813</v>
      </c>
      <c r="B46" s="6"/>
      <c r="C46" s="6">
        <f t="shared" si="0"/>
        <v>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 x14ac:dyDescent="0.25">
      <c r="A47" s="5">
        <v>46844</v>
      </c>
      <c r="B47" s="6"/>
      <c r="C47" s="6">
        <f t="shared" si="0"/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 x14ac:dyDescent="0.25">
      <c r="A48" s="5">
        <v>46874</v>
      </c>
      <c r="B48" s="6"/>
      <c r="C48" s="6">
        <f t="shared" si="0"/>
        <v>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 x14ac:dyDescent="0.25">
      <c r="A49" s="5">
        <v>46905</v>
      </c>
      <c r="B49" s="6"/>
      <c r="C49" s="6">
        <f t="shared" si="0"/>
        <v>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 x14ac:dyDescent="0.25">
      <c r="A50" s="5">
        <v>46935</v>
      </c>
      <c r="B50" s="6"/>
      <c r="C50" s="6">
        <f t="shared" si="0"/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 x14ac:dyDescent="0.25">
      <c r="A51" s="5">
        <v>46966</v>
      </c>
      <c r="B51" s="6"/>
      <c r="C51" s="6">
        <f t="shared" si="0"/>
        <v>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 x14ac:dyDescent="0.25">
      <c r="A52" s="5">
        <v>46997</v>
      </c>
      <c r="B52" s="6"/>
      <c r="C52" s="6">
        <f t="shared" si="0"/>
        <v>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 x14ac:dyDescent="0.25">
      <c r="A53" s="5">
        <v>47027</v>
      </c>
      <c r="B53" s="6"/>
      <c r="C53" s="6">
        <f t="shared" si="0"/>
        <v>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 x14ac:dyDescent="0.25">
      <c r="A54" s="5">
        <v>47058</v>
      </c>
      <c r="B54" s="6"/>
      <c r="C54" s="6">
        <f t="shared" si="0"/>
        <v>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 x14ac:dyDescent="0.25">
      <c r="A55" s="5">
        <v>47088</v>
      </c>
      <c r="B55" s="6"/>
      <c r="C55" s="6">
        <f t="shared" si="0"/>
        <v>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1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1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1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1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1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1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1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1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1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1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1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1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1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1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1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1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1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1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1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1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1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1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1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1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1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1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1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1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1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1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1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1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1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1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1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1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N39"/>
  <sheetViews>
    <sheetView showGridLines="0" tabSelected="1" topLeftCell="B6" zoomScaleNormal="100" workbookViewId="0">
      <selection activeCell="G15" sqref="G15"/>
    </sheetView>
  </sheetViews>
  <sheetFormatPr defaultColWidth="8.7109375" defaultRowHeight="11.25" outlineLevelRow="1" outlineLevelCol="1" x14ac:dyDescent="0.25"/>
  <cols>
    <col min="1" max="1" width="26.28515625" style="17" hidden="1" customWidth="1" outlineLevel="1"/>
    <col min="2" max="2" width="29.85546875" style="17" customWidth="1" collapsed="1"/>
    <col min="3" max="3" width="11.5703125" style="17" bestFit="1" customWidth="1"/>
    <col min="4" max="4" width="12.140625" style="17" bestFit="1" customWidth="1"/>
    <col min="5" max="5" width="11.42578125" style="17" bestFit="1" customWidth="1"/>
    <col min="6" max="6" width="16.5703125" style="17" customWidth="1"/>
    <col min="7" max="7" width="15" style="17" bestFit="1" customWidth="1"/>
    <col min="8" max="8" width="12" style="17" bestFit="1" customWidth="1"/>
    <col min="9" max="9" width="27.42578125" style="17" customWidth="1"/>
    <col min="10" max="13" width="8.7109375" style="17"/>
    <col min="14" max="14" width="10.7109375" style="17" bestFit="1" customWidth="1"/>
    <col min="15" max="16384" width="8.7109375" style="17"/>
  </cols>
  <sheetData>
    <row r="1" spans="1:14" ht="25.5" customHeight="1" x14ac:dyDescent="0.25">
      <c r="B1" s="62" t="s">
        <v>29</v>
      </c>
      <c r="C1" s="62"/>
      <c r="D1" s="62"/>
      <c r="E1" s="62"/>
      <c r="F1" s="62"/>
      <c r="G1" s="62"/>
      <c r="H1" s="62"/>
      <c r="I1" s="62"/>
      <c r="J1" s="62"/>
      <c r="K1" s="16"/>
      <c r="L1" s="16"/>
      <c r="M1" s="16"/>
    </row>
    <row r="2" spans="1:14" ht="15.75" customHeight="1" x14ac:dyDescent="0.25">
      <c r="B2" s="68" t="s">
        <v>30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4" spans="1:14" ht="24" customHeight="1" x14ac:dyDescent="0.25">
      <c r="B4" s="69" t="s">
        <v>31</v>
      </c>
      <c r="C4" s="69"/>
      <c r="D4" s="69"/>
      <c r="E4" s="7">
        <v>46296</v>
      </c>
      <c r="G4" s="70" t="s">
        <v>32</v>
      </c>
      <c r="H4" s="70"/>
      <c r="I4" s="18" t="str">
        <f>TEXT(_xlfn.MAXIFS('Resumo Usinas (Histórico)'!$H$5:$H$500,'Resumo Usinas (Histórico)'!$J$5:$J$500,"&lt;&gt;"),"mmm/AAAA")</f>
        <v>out/2026</v>
      </c>
    </row>
    <row r="5" spans="1:14" x14ac:dyDescent="0.25">
      <c r="M5" s="19"/>
      <c r="N5" s="20"/>
    </row>
    <row r="6" spans="1:14" ht="30" customHeight="1" x14ac:dyDescent="0.25">
      <c r="B6" s="71" t="s">
        <v>180</v>
      </c>
      <c r="C6" s="71"/>
      <c r="D6" s="71"/>
      <c r="F6" s="72" t="s">
        <v>33</v>
      </c>
      <c r="G6" s="72"/>
      <c r="I6" s="73" t="s">
        <v>34</v>
      </c>
      <c r="J6" s="73"/>
    </row>
    <row r="7" spans="1:14" ht="25.5" customHeight="1" x14ac:dyDescent="0.25">
      <c r="B7" s="63">
        <f>G22</f>
        <v>49510</v>
      </c>
      <c r="C7" s="63"/>
      <c r="D7" s="63"/>
      <c r="F7" s="64">
        <f>H37</f>
        <v>49510</v>
      </c>
      <c r="G7" s="64"/>
      <c r="I7" s="65" t="s">
        <v>129</v>
      </c>
      <c r="J7" s="66"/>
    </row>
    <row r="10" spans="1:14" x14ac:dyDescent="0.25">
      <c r="B10" s="21" t="s">
        <v>178</v>
      </c>
      <c r="C10" s="21"/>
    </row>
    <row r="11" spans="1:14" ht="22.5" x14ac:dyDescent="0.25">
      <c r="A11" s="17" t="s">
        <v>179</v>
      </c>
      <c r="B11" s="8" t="s">
        <v>35</v>
      </c>
      <c r="C11" s="8" t="s">
        <v>134</v>
      </c>
      <c r="D11" s="8" t="s">
        <v>36</v>
      </c>
      <c r="E11" s="8" t="s">
        <v>37</v>
      </c>
      <c r="F11" s="8" t="s">
        <v>38</v>
      </c>
      <c r="G11" s="8" t="s">
        <v>85</v>
      </c>
      <c r="H11" s="8" t="s">
        <v>39</v>
      </c>
      <c r="I11" s="8" t="s">
        <v>40</v>
      </c>
    </row>
    <row r="12" spans="1:14" ht="33.75" x14ac:dyDescent="0.25">
      <c r="A12" s="17" t="str">
        <f>CONCATENATE(D12,E12)</f>
        <v>703010264346296</v>
      </c>
      <c r="B12" s="9" t="s">
        <v>145</v>
      </c>
      <c r="C12" s="10" t="s">
        <v>135</v>
      </c>
      <c r="D12" s="22">
        <v>7030102643</v>
      </c>
      <c r="E12" s="23">
        <f>IF(COUNTIFS('Resumo Usinas (Histórico)'!$C$5:$C$500,D12,'Resumo Usinas (Histórico)'!$H$5:$H$500,"&lt;="&amp;$E$4,'Resumo Usinas (Histórico)'!$J$5:$J$500,"&lt;&gt;")=0,"Sem dados",_xlfn.MAXIFS('Resumo Usinas (Histórico)'!$H$5:$H$500,'Resumo Usinas (Histórico)'!$C$5:$C$500,D12,'Resumo Usinas (Histórico)'!$H$5:$H$500,"&lt;="&amp;$E$4))</f>
        <v>46296</v>
      </c>
      <c r="F12" s="24">
        <f>IF(E12="Sem dados","-",IFERROR(INDEX('Resumo Usinas (Histórico)'!$E$5:$E$500,MATCH(A12,'Resumo Usinas (Histórico)'!$A$5:$A$500,0)),"-"))</f>
        <v>60</v>
      </c>
      <c r="G12" s="24">
        <f>IF(E12="Sem dados","-",IFERROR(SUMIFS('Resumo Usinas (Histórico)'!$J$5:$J$500,'Resumo Usinas (Histórico)'!$C$5:$C$500,D12,'Resumo Usinas (Histórico)'!$H$5:$H$500,E12),"-"))</f>
        <v>4368</v>
      </c>
      <c r="H12" s="25">
        <f>IFERROR(SUMIFS('Rateio de Crédito'!$F$5:$F$151,'Rateio de Crédito'!$B$5:$B$151,D12,'Rateio de Crédito'!$E$5:$E$151,"&lt;&gt;Injetor (Gerador)"),0)</f>
        <v>1</v>
      </c>
      <c r="I12" s="9" t="s">
        <v>43</v>
      </c>
    </row>
    <row r="13" spans="1:14" ht="22.5" x14ac:dyDescent="0.25">
      <c r="A13" s="17" t="str">
        <f t="shared" ref="A13:A21" si="0">CONCATENATE(D13,E13)</f>
        <v>703086904946296</v>
      </c>
      <c r="B13" s="9" t="s">
        <v>142</v>
      </c>
      <c r="C13" s="10" t="s">
        <v>136</v>
      </c>
      <c r="D13" s="22">
        <v>7030869049</v>
      </c>
      <c r="E13" s="23">
        <f>IF(COUNTIFS('Resumo Usinas (Histórico)'!$C$5:$C$500,D13,'Resumo Usinas (Histórico)'!$H$5:$H$500,"&lt;="&amp;$E$4,'Resumo Usinas (Histórico)'!$J$5:$J$500,"&lt;&gt;")=0,"Sem dados",_xlfn.MAXIFS('Resumo Usinas (Histórico)'!$H$5:$H$500,'Resumo Usinas (Histórico)'!$C$5:$C$500,D13,'Resumo Usinas (Histórico)'!$H$5:$H$500,"&lt;="&amp;$E$4))</f>
        <v>46296</v>
      </c>
      <c r="F13" s="24">
        <f>IF(E13="Sem dados","-",IFERROR(INDEX('Resumo Usinas (Histórico)'!$E$5:$E$500,MATCH(A13,'Resumo Usinas (Histórico)'!$A$5:$A$500,0)),"-"))</f>
        <v>60</v>
      </c>
      <c r="G13" s="24">
        <f>IF(E13="Sem dados","-",IFERROR(SUMIFS('Resumo Usinas (Histórico)'!$J$5:$J$500,'Resumo Usinas (Histórico)'!$C$5:$C$500,D13,'Resumo Usinas (Histórico)'!$H$5:$H$500,E13),"-"))</f>
        <v>15158</v>
      </c>
      <c r="H13" s="25">
        <f>IFERROR(SUMIFS('Rateio de Crédito'!$F$5:$F$151,'Rateio de Crédito'!$B$5:$B$151,D13,'Rateio de Crédito'!$E$5:$E$151,"&lt;&gt;Injetor (Gerador)"),0)</f>
        <v>1</v>
      </c>
      <c r="I13" s="9" t="s">
        <v>46</v>
      </c>
    </row>
    <row r="14" spans="1:14" ht="22.5" x14ac:dyDescent="0.25">
      <c r="A14" s="17" t="str">
        <f t="shared" si="0"/>
        <v>703086906546266</v>
      </c>
      <c r="B14" s="9" t="s">
        <v>143</v>
      </c>
      <c r="C14" s="10" t="s">
        <v>137</v>
      </c>
      <c r="D14" s="22">
        <v>7030869065</v>
      </c>
      <c r="E14" s="95">
        <f>IF(COUNTIFS('Resumo Usinas (Histórico)'!$C$5:$C$500,D14,'Resumo Usinas (Histórico)'!$H$5:$H$500,"&lt;="&amp;$E$4,'Resumo Usinas (Histórico)'!$J$5:$J$500,"&lt;&gt;")=0,"Sem dados",_xlfn.MAXIFS('Resumo Usinas (Histórico)'!$H$5:$H$500,'Resumo Usinas (Histórico)'!$C$5:$C$500,D14,'Resumo Usinas (Histórico)'!$H$5:$H$500,"&lt;="&amp;$E$4))</f>
        <v>46266</v>
      </c>
      <c r="F14" s="24">
        <f>IF(E14="Sem dados","-",IFERROR(INDEX('Resumo Usinas (Histórico)'!$E$5:$E$500,MATCH(A14,'Resumo Usinas (Histórico)'!$A$5:$A$500,0)),"-"))</f>
        <v>60</v>
      </c>
      <c r="G14" s="24">
        <f>IF(E14="Sem dados","-",IFERROR(SUMIFS('Resumo Usinas (Histórico)'!$J$5:$J$500,'Resumo Usinas (Histórico)'!$C$5:$C$500,D14,'Resumo Usinas (Histórico)'!$H$5:$H$500,E14),"-"))</f>
        <v>7136</v>
      </c>
      <c r="H14" s="25">
        <f>IFERROR(SUMIFS('Rateio de Crédito'!$F$5:$F$151,'Rateio de Crédito'!$B$5:$B$151,D14,'Rateio de Crédito'!$E$5:$E$151,"&lt;&gt;Injetor (Gerador)"),0)</f>
        <v>1</v>
      </c>
      <c r="I14" s="9" t="s">
        <v>46</v>
      </c>
    </row>
    <row r="15" spans="1:14" x14ac:dyDescent="0.25">
      <c r="A15" s="17" t="str">
        <f t="shared" si="0"/>
        <v>703086929446296</v>
      </c>
      <c r="B15" s="9" t="s">
        <v>144</v>
      </c>
      <c r="C15" s="10" t="s">
        <v>138</v>
      </c>
      <c r="D15" s="22">
        <v>7030869294</v>
      </c>
      <c r="E15" s="23">
        <f>IF(COUNTIFS('Resumo Usinas (Histórico)'!$C$5:$C$500,D15,'Resumo Usinas (Histórico)'!$H$5:$H$500,"&lt;="&amp;$E$4,'Resumo Usinas (Histórico)'!$J$5:$J$500,"&lt;&gt;")=0,"Sem dados",_xlfn.MAXIFS('Resumo Usinas (Histórico)'!$H$5:$H$500,'Resumo Usinas (Histórico)'!$C$5:$C$500,D15,'Resumo Usinas (Histórico)'!$H$5:$H$500,"&lt;="&amp;$E$4))</f>
        <v>46296</v>
      </c>
      <c r="F15" s="24">
        <f>IF(E15="Sem dados","-",IFERROR(INDEX('Resumo Usinas (Histórico)'!$E$5:$E$500,MATCH(A15,'Resumo Usinas (Histórico)'!$A$5:$A$500,0)),"-"))</f>
        <v>60</v>
      </c>
      <c r="G15" s="24">
        <f>IF(E15="Sem dados","-",IFERROR(SUMIFS('Resumo Usinas (Histórico)'!$J$5:$J$500,'Resumo Usinas (Histórico)'!$C$5:$C$500,D15,'Resumo Usinas (Histórico)'!$H$5:$H$500,E15),"-"))</f>
        <v>19215</v>
      </c>
      <c r="H15" s="25">
        <f>IFERROR(SUMIFS('Rateio de Crédito'!$F$5:$F$151,'Rateio de Crédito'!$B$5:$B$151,D15,'Rateio de Crédito'!$E$5:$E$151,"&lt;&gt;Injetor (Gerador)"),0)</f>
        <v>1</v>
      </c>
      <c r="I15" s="9" t="s">
        <v>186</v>
      </c>
    </row>
    <row r="16" spans="1:14" x14ac:dyDescent="0.25">
      <c r="A16" s="17" t="str">
        <f t="shared" si="0"/>
        <v>703175443146296</v>
      </c>
      <c r="B16" s="9" t="s">
        <v>145</v>
      </c>
      <c r="C16" s="10" t="s">
        <v>185</v>
      </c>
      <c r="D16" s="22">
        <v>7031754431</v>
      </c>
      <c r="E16" s="23">
        <f>IF(COUNTIFS('Resumo Usinas (Histórico)'!$C$5:$C$500,D16,'Resumo Usinas (Histórico)'!$H$5:$H$500,"&lt;="&amp;$E$4,'Resumo Usinas (Histórico)'!$J$5:$J$500,"&lt;&gt;")=0,"Sem dados",_xlfn.MAXIFS('Resumo Usinas (Histórico)'!$H$5:$H$500,'Resumo Usinas (Histórico)'!$C$5:$C$500,D16,'Resumo Usinas (Histórico)'!$H$5:$H$500,"&lt;="&amp;$E$4))</f>
        <v>46296</v>
      </c>
      <c r="F16" s="24">
        <f>IF(E16="Sem dados","-",IFERROR(INDEX('Resumo Usinas (Histórico)'!$E$5:$E$500,MATCH(A16,'Resumo Usinas (Histórico)'!$A$5:$A$500,0)),"-"))</f>
        <v>33</v>
      </c>
      <c r="G16" s="24">
        <f>IF(E16="Sem dados","-",IFERROR(SUMIFS('Resumo Usinas (Histórico)'!$J$5:$J$500,'Resumo Usinas (Histórico)'!$C$5:$C$500,D16,'Resumo Usinas (Histórico)'!$H$5:$H$500,E16),"-"))</f>
        <v>3633</v>
      </c>
      <c r="H16" s="25">
        <f>IFERROR(SUMIFS('Rateio de Crédito'!$F$5:$F$151,'Rateio de Crédito'!$B$5:$B$151,D16,'Rateio de Crédito'!$E$5:$E$151,"&lt;&gt;Injetor (Gerador)"),0)</f>
        <v>1</v>
      </c>
      <c r="I16" s="9" t="s">
        <v>187</v>
      </c>
    </row>
    <row r="17" spans="1:9" ht="22.5" hidden="1" outlineLevel="1" x14ac:dyDescent="0.25">
      <c r="A17" s="17" t="str">
        <f t="shared" si="0"/>
        <v>A DEFINIR-06Sem dados</v>
      </c>
      <c r="B17" s="14" t="s">
        <v>52</v>
      </c>
      <c r="C17" s="15"/>
      <c r="D17" s="26" t="s">
        <v>53</v>
      </c>
      <c r="E17" s="27" t="str">
        <f>IF(COUNTIFS('Resumo Usinas (Histórico)'!$C$5:$C$500,D17,'Resumo Usinas (Histórico)'!$H$5:$H$500,"&lt;="&amp;$E$4,'Resumo Usinas (Histórico)'!$J$5:$J$500,"&lt;&gt;")=0,"Sem dados",_xlfn.MAXIFS('Resumo Usinas (Histórico)'!$H$5:$H$500,'Resumo Usinas (Histórico)'!$C$5:$C$500,D17,'Resumo Usinas (Histórico)'!$H$5:$H$500,"&lt;="&amp;$E$4))</f>
        <v>Sem dados</v>
      </c>
      <c r="F17" s="28" t="str">
        <f>IF(E17="Sem dados","-",IFERROR(INDEX('Resumo Usinas (Histórico)'!$E$5:$E$500,MATCH(D17,'Resumo Usinas (Histórico)'!$C$5:$C$500,0)),"-"))</f>
        <v>-</v>
      </c>
      <c r="G17" s="28" t="str">
        <f>IF(E17="Sem dados","-",IFERROR(SUMIFS('Resumo Usinas (Histórico)'!$L$5:$L$500,'Resumo Usinas (Histórico)'!$C$5:$C$500,D17,'Resumo Usinas (Histórico)'!$H$5:$H$500,E17),"-"))</f>
        <v>-</v>
      </c>
      <c r="H17" s="29">
        <f>IFERROR(SUMIFS('Rateio de Crédito'!$F$5:$F$151,'Rateio de Crédito'!$B$5:$B$151,D17,'Rateio de Crédito'!$E$5:$E$151,"&lt;&gt;Injetor (Gerador)"),0)</f>
        <v>0</v>
      </c>
      <c r="I17" s="14" t="s">
        <v>51</v>
      </c>
    </row>
    <row r="18" spans="1:9" ht="22.5" hidden="1" outlineLevel="1" x14ac:dyDescent="0.25">
      <c r="A18" s="17" t="str">
        <f t="shared" si="0"/>
        <v>A DEFINIR-07Sem dados</v>
      </c>
      <c r="B18" s="14" t="s">
        <v>54</v>
      </c>
      <c r="C18" s="15"/>
      <c r="D18" s="26" t="s">
        <v>55</v>
      </c>
      <c r="E18" s="27" t="str">
        <f>IF(COUNTIFS('Resumo Usinas (Histórico)'!$C$5:$C$500,D18,'Resumo Usinas (Histórico)'!$H$5:$H$500,"&lt;="&amp;$E$4,'Resumo Usinas (Histórico)'!$J$5:$J$500,"&lt;&gt;")=0,"Sem dados",_xlfn.MAXIFS('Resumo Usinas (Histórico)'!$H$5:$H$500,'Resumo Usinas (Histórico)'!$C$5:$C$500,D18,'Resumo Usinas (Histórico)'!$H$5:$H$500,"&lt;="&amp;$E$4))</f>
        <v>Sem dados</v>
      </c>
      <c r="F18" s="28" t="str">
        <f>IF(E18="Sem dados","-",IFERROR(INDEX('Resumo Usinas (Histórico)'!$E$5:$E$500,MATCH(D18,'Resumo Usinas (Histórico)'!$C$5:$C$500,0)),"-"))</f>
        <v>-</v>
      </c>
      <c r="G18" s="28" t="str">
        <f>IF(E18="Sem dados","-",IFERROR(SUMIFS('Resumo Usinas (Histórico)'!$L$5:$L$500,'Resumo Usinas (Histórico)'!$C$5:$C$500,D18,'Resumo Usinas (Histórico)'!$H$5:$H$500,E18),"-"))</f>
        <v>-</v>
      </c>
      <c r="H18" s="29">
        <f>IFERROR(SUMIFS('Rateio de Crédito'!$F$5:$F$151,'Rateio de Crédito'!$B$5:$B$151,D18,'Rateio de Crédito'!$E$5:$E$151,"&lt;&gt;Injetor (Gerador)"),0)</f>
        <v>0</v>
      </c>
      <c r="I18" s="14" t="s">
        <v>51</v>
      </c>
    </row>
    <row r="19" spans="1:9" ht="22.5" hidden="1" outlineLevel="1" x14ac:dyDescent="0.25">
      <c r="A19" s="17" t="str">
        <f t="shared" si="0"/>
        <v>A DEFINIR-08Sem dados</v>
      </c>
      <c r="B19" s="14" t="s">
        <v>56</v>
      </c>
      <c r="C19" s="15"/>
      <c r="D19" s="26" t="s">
        <v>57</v>
      </c>
      <c r="E19" s="27" t="str">
        <f>IF(COUNTIFS('Resumo Usinas (Histórico)'!$C$5:$C$500,D19,'Resumo Usinas (Histórico)'!$H$5:$H$500,"&lt;="&amp;$E$4,'Resumo Usinas (Histórico)'!$J$5:$J$500,"&lt;&gt;")=0,"Sem dados",_xlfn.MAXIFS('Resumo Usinas (Histórico)'!$H$5:$H$500,'Resumo Usinas (Histórico)'!$C$5:$C$500,D19,'Resumo Usinas (Histórico)'!$H$5:$H$500,"&lt;="&amp;$E$4))</f>
        <v>Sem dados</v>
      </c>
      <c r="F19" s="28" t="str">
        <f>IF(E19="Sem dados","-",IFERROR(INDEX('Resumo Usinas (Histórico)'!$E$5:$E$500,MATCH(D19,'Resumo Usinas (Histórico)'!$C$5:$C$500,0)),"-"))</f>
        <v>-</v>
      </c>
      <c r="G19" s="28" t="str">
        <f>IF(E19="Sem dados","-",IFERROR(SUMIFS('Resumo Usinas (Histórico)'!$L$5:$L$500,'Resumo Usinas (Histórico)'!$C$5:$C$500,D19,'Resumo Usinas (Histórico)'!$H$5:$H$500,E19),"-"))</f>
        <v>-</v>
      </c>
      <c r="H19" s="29">
        <f>IFERROR(SUMIFS('Rateio de Crédito'!$F$5:$F$151,'Rateio de Crédito'!$B$5:$B$151,D19,'Rateio de Crédito'!$E$5:$E$151,"&lt;&gt;Injetor (Gerador)"),0)</f>
        <v>0</v>
      </c>
      <c r="I19" s="14" t="s">
        <v>51</v>
      </c>
    </row>
    <row r="20" spans="1:9" ht="22.5" hidden="1" outlineLevel="1" x14ac:dyDescent="0.25">
      <c r="A20" s="17" t="str">
        <f t="shared" si="0"/>
        <v>A DEFINIR-09Sem dados</v>
      </c>
      <c r="B20" s="14" t="s">
        <v>58</v>
      </c>
      <c r="C20" s="15"/>
      <c r="D20" s="26" t="s">
        <v>59</v>
      </c>
      <c r="E20" s="27" t="str">
        <f>IF(COUNTIFS('Resumo Usinas (Histórico)'!$C$5:$C$500,D20,'Resumo Usinas (Histórico)'!$H$5:$H$500,"&lt;="&amp;$E$4,'Resumo Usinas (Histórico)'!$J$5:$J$500,"&lt;&gt;")=0,"Sem dados",_xlfn.MAXIFS('Resumo Usinas (Histórico)'!$H$5:$H$500,'Resumo Usinas (Histórico)'!$C$5:$C$500,D20,'Resumo Usinas (Histórico)'!$H$5:$H$500,"&lt;="&amp;$E$4))</f>
        <v>Sem dados</v>
      </c>
      <c r="F20" s="28" t="str">
        <f>IF(E20="Sem dados","-",IFERROR(INDEX('Resumo Usinas (Histórico)'!$E$5:$E$500,MATCH(D20,'Resumo Usinas (Histórico)'!$C$5:$C$500,0)),"-"))</f>
        <v>-</v>
      </c>
      <c r="G20" s="28" t="str">
        <f>IF(E20="Sem dados","-",IFERROR(SUMIFS('Resumo Usinas (Histórico)'!$L$5:$L$500,'Resumo Usinas (Histórico)'!$C$5:$C$500,D20,'Resumo Usinas (Histórico)'!$H$5:$H$500,E20),"-"))</f>
        <v>-</v>
      </c>
      <c r="H20" s="29">
        <f>IFERROR(SUMIFS('Rateio de Crédito'!$F$5:$F$151,'Rateio de Crédito'!$B$5:$B$151,D20,'Rateio de Crédito'!$E$5:$E$151,"&lt;&gt;Injetor (Gerador)"),0)</f>
        <v>0</v>
      </c>
      <c r="I20" s="14" t="s">
        <v>51</v>
      </c>
    </row>
    <row r="21" spans="1:9" ht="22.5" hidden="1" outlineLevel="1" x14ac:dyDescent="0.25">
      <c r="A21" s="17" t="str">
        <f t="shared" si="0"/>
        <v>A DEFINIR-10Sem dados</v>
      </c>
      <c r="B21" s="14" t="s">
        <v>60</v>
      </c>
      <c r="C21" s="15"/>
      <c r="D21" s="26" t="s">
        <v>61</v>
      </c>
      <c r="E21" s="27" t="str">
        <f>IF(COUNTIFS('Resumo Usinas (Histórico)'!$C$5:$C$500,D21,'Resumo Usinas (Histórico)'!$H$5:$H$500,"&lt;="&amp;$E$4,'Resumo Usinas (Histórico)'!$J$5:$J$500,"&lt;&gt;")=0,"Sem dados",_xlfn.MAXIFS('Resumo Usinas (Histórico)'!$H$5:$H$500,'Resumo Usinas (Histórico)'!$C$5:$C$500,D21,'Resumo Usinas (Histórico)'!$H$5:$H$500,"&lt;="&amp;$E$4))</f>
        <v>Sem dados</v>
      </c>
      <c r="F21" s="28" t="str">
        <f>IF(E21="Sem dados","-",IFERROR(INDEX('Resumo Usinas (Histórico)'!$E$5:$E$500,MATCH(D21,'Resumo Usinas (Histórico)'!$C$5:$C$500,0)),"-"))</f>
        <v>-</v>
      </c>
      <c r="G21" s="28" t="str">
        <f>IF(E21="Sem dados","-",IFERROR(SUMIFS('Resumo Usinas (Histórico)'!$L$5:$L$500,'Resumo Usinas (Histórico)'!$C$5:$C$500,D21,'Resumo Usinas (Histórico)'!$H$5:$H$500,E21),"-"))</f>
        <v>-</v>
      </c>
      <c r="H21" s="29">
        <f>IFERROR(SUMIFS('Rateio de Crédito'!$F$5:$F$151,'Rateio de Crédito'!$B$5:$B$151,D21,'Rateio de Crédito'!$E$5:$E$151,"&lt;&gt;Injetor (Gerador)"),0)</f>
        <v>0</v>
      </c>
      <c r="I21" s="14" t="s">
        <v>51</v>
      </c>
    </row>
    <row r="22" spans="1:9" collapsed="1" x14ac:dyDescent="0.25">
      <c r="B22" s="30" t="s">
        <v>62</v>
      </c>
      <c r="C22" s="30"/>
      <c r="D22" s="31"/>
      <c r="E22" s="31"/>
      <c r="F22" s="31"/>
      <c r="G22" s="32">
        <f>SUM(G12:G21)</f>
        <v>49510</v>
      </c>
      <c r="H22" s="31"/>
      <c r="I22" s="31"/>
    </row>
    <row r="25" spans="1:9" x14ac:dyDescent="0.25">
      <c r="B25" s="21" t="s">
        <v>63</v>
      </c>
      <c r="C25" s="21"/>
    </row>
    <row r="26" spans="1:9" ht="22.5" x14ac:dyDescent="0.25">
      <c r="B26" s="8" t="s">
        <v>64</v>
      </c>
      <c r="C26" s="8" t="s">
        <v>134</v>
      </c>
      <c r="D26" s="8" t="s">
        <v>36</v>
      </c>
      <c r="E26" s="8" t="s">
        <v>65</v>
      </c>
      <c r="F26" s="8" t="s">
        <v>66</v>
      </c>
      <c r="G26" s="8" t="s">
        <v>67</v>
      </c>
      <c r="H26" s="8" t="s">
        <v>68</v>
      </c>
      <c r="I26" s="8" t="s">
        <v>69</v>
      </c>
    </row>
    <row r="27" spans="1:9" x14ac:dyDescent="0.25">
      <c r="B27" s="9" t="s">
        <v>145</v>
      </c>
      <c r="C27" s="10" t="s">
        <v>135</v>
      </c>
      <c r="D27" s="22" t="s">
        <v>42</v>
      </c>
      <c r="E27" s="22" t="s">
        <v>70</v>
      </c>
      <c r="F27" s="9" t="s">
        <v>71</v>
      </c>
      <c r="G27" s="25">
        <f>VLOOKUP(E27,'Rateio de Crédito'!C:F,4,0)</f>
        <v>1</v>
      </c>
      <c r="H27" s="24">
        <f>IFERROR(G27*$G$12,"-")</f>
        <v>4368</v>
      </c>
      <c r="I27" s="23">
        <f>IF(ISBLANK('Rateio de Crédito'!G6),"-",'Rateio de Crédito'!G6)</f>
        <v>46204</v>
      </c>
    </row>
    <row r="28" spans="1:9" ht="22.5" x14ac:dyDescent="0.25">
      <c r="B28" s="9" t="s">
        <v>142</v>
      </c>
      <c r="C28" s="10" t="s">
        <v>136</v>
      </c>
      <c r="D28" s="22" t="s">
        <v>45</v>
      </c>
      <c r="E28" s="22" t="s">
        <v>45</v>
      </c>
      <c r="F28" s="9" t="s">
        <v>72</v>
      </c>
      <c r="G28" s="25">
        <f>VLOOKUP(E28,'Rateio de Crédito'!C:F,4,0)</f>
        <v>1</v>
      </c>
      <c r="H28" s="24">
        <f>IFERROR(G28*$G$13,"-")</f>
        <v>15158</v>
      </c>
      <c r="I28" s="23">
        <f>IF(ISBLANK('Rateio de Crédito'!G7),"-",'Rateio de Crédito'!G7)</f>
        <v>46204</v>
      </c>
    </row>
    <row r="29" spans="1:9" x14ac:dyDescent="0.25">
      <c r="B29" s="9" t="s">
        <v>143</v>
      </c>
      <c r="C29" s="10" t="s">
        <v>137</v>
      </c>
      <c r="D29" s="22" t="s">
        <v>48</v>
      </c>
      <c r="E29" s="22" t="s">
        <v>168</v>
      </c>
      <c r="F29" s="9" t="s">
        <v>71</v>
      </c>
      <c r="G29" s="25">
        <f>VLOOKUP(E29,'Rateio de Crédito'!C:F,4,0)</f>
        <v>1</v>
      </c>
      <c r="H29" s="24">
        <f>IFERROR(G29*$G$14,"-")</f>
        <v>7136</v>
      </c>
      <c r="I29" s="23">
        <f>IF(ISBLANK('Rateio de Crédito'!G10),"-",'Rateio de Crédito'!G10)</f>
        <v>46204</v>
      </c>
    </row>
    <row r="30" spans="1:9" x14ac:dyDescent="0.25">
      <c r="B30" s="9" t="s">
        <v>144</v>
      </c>
      <c r="C30" s="10" t="s">
        <v>138</v>
      </c>
      <c r="D30" s="22" t="s">
        <v>50</v>
      </c>
      <c r="E30" s="22" t="s">
        <v>73</v>
      </c>
      <c r="F30" s="9" t="s">
        <v>71</v>
      </c>
      <c r="G30" s="25">
        <f>VLOOKUP(E30,'Rateio de Crédito'!C:F,4,0)</f>
        <v>0.25</v>
      </c>
      <c r="H30" s="24">
        <f>IFERROR(G30*$G$15,"-")</f>
        <v>4803.75</v>
      </c>
      <c r="I30" s="23">
        <f>IF(ISBLANK('Rateio de Crédito'!G12),"-",'Rateio de Crédito'!G12)</f>
        <v>46204</v>
      </c>
    </row>
    <row r="31" spans="1:9" x14ac:dyDescent="0.25">
      <c r="B31" s="9" t="s">
        <v>144</v>
      </c>
      <c r="C31" s="10" t="s">
        <v>138</v>
      </c>
      <c r="D31" s="22" t="s">
        <v>50</v>
      </c>
      <c r="E31" s="22" t="s">
        <v>74</v>
      </c>
      <c r="F31" s="9" t="s">
        <v>71</v>
      </c>
      <c r="G31" s="25">
        <f>VLOOKUP(E31,'Rateio de Crédito'!C:F,4,0)</f>
        <v>0.25</v>
      </c>
      <c r="H31" s="24">
        <f>IFERROR(G31*$G$15,"-")</f>
        <v>4803.75</v>
      </c>
      <c r="I31" s="23">
        <f>IF(ISBLANK('Rateio de Crédito'!G13),"-",'Rateio de Crédito'!G13)</f>
        <v>46204</v>
      </c>
    </row>
    <row r="32" spans="1:9" x14ac:dyDescent="0.25">
      <c r="B32" s="9" t="s">
        <v>144</v>
      </c>
      <c r="C32" s="10" t="s">
        <v>138</v>
      </c>
      <c r="D32" s="22" t="s">
        <v>50</v>
      </c>
      <c r="E32" s="22" t="s">
        <v>75</v>
      </c>
      <c r="F32" s="9" t="s">
        <v>71</v>
      </c>
      <c r="G32" s="25">
        <f>VLOOKUP(E32,'Rateio de Crédito'!C:F,4,0)</f>
        <v>0.25</v>
      </c>
      <c r="H32" s="24">
        <f>IFERROR(G32*$G$15,"-")</f>
        <v>4803.75</v>
      </c>
      <c r="I32" s="23">
        <f>IF(ISBLANK('Rateio de Crédito'!G14),"-",'Rateio de Crédito'!G14)</f>
        <v>46204</v>
      </c>
    </row>
    <row r="33" spans="2:9" x14ac:dyDescent="0.25">
      <c r="B33" s="9" t="s">
        <v>144</v>
      </c>
      <c r="C33" s="10" t="s">
        <v>138</v>
      </c>
      <c r="D33" s="22" t="s">
        <v>50</v>
      </c>
      <c r="E33" s="22" t="s">
        <v>76</v>
      </c>
      <c r="F33" s="9" t="s">
        <v>71</v>
      </c>
      <c r="G33" s="25">
        <f>VLOOKUP(E33,'Rateio de Crédito'!C:F,4,0)</f>
        <v>0.25</v>
      </c>
      <c r="H33" s="24">
        <f>IFERROR(G33*$G$15,"-")</f>
        <v>4803.75</v>
      </c>
      <c r="I33" s="23">
        <f>IF(ISBLANK('Rateio de Crédito'!G15),"-",'Rateio de Crédito'!G15)</f>
        <v>46296</v>
      </c>
    </row>
    <row r="34" spans="2:9" x14ac:dyDescent="0.25">
      <c r="B34" s="9" t="s">
        <v>145</v>
      </c>
      <c r="C34" s="10" t="s">
        <v>185</v>
      </c>
      <c r="D34" s="22">
        <v>7030102643</v>
      </c>
      <c r="E34" s="22">
        <v>7027595701</v>
      </c>
      <c r="F34" s="9" t="s">
        <v>71</v>
      </c>
      <c r="G34" s="25">
        <f>VLOOKUP(E34,'Rateio de Crédito'!C:F,4,0)</f>
        <v>1</v>
      </c>
      <c r="H34" s="24">
        <f>IFERROR(G34*$G$16,"-")</f>
        <v>3633</v>
      </c>
      <c r="I34" s="23">
        <f>IF(ISBLANK('Rateio de Crédito'!G16),"-",'Rateio de Crédito'!G16)</f>
        <v>46296</v>
      </c>
    </row>
    <row r="35" spans="2:9" hidden="1" outlineLevel="1" x14ac:dyDescent="0.25">
      <c r="B35" s="14" t="s">
        <v>54</v>
      </c>
      <c r="C35" s="26" t="s">
        <v>55</v>
      </c>
      <c r="D35" s="26" t="s">
        <v>55</v>
      </c>
      <c r="E35" s="26"/>
      <c r="F35" s="14"/>
      <c r="G35" s="25"/>
      <c r="H35" s="28" t="str">
        <f>IFERROR(G35*$G$18,"-")</f>
        <v>-</v>
      </c>
      <c r="I35" s="27" t="str">
        <f>IF(ISBLANK('Rateio de Crédito'!G17),"-",'Rateio de Crédito'!G17)</f>
        <v>-</v>
      </c>
    </row>
    <row r="36" spans="2:9" hidden="1" outlineLevel="1" x14ac:dyDescent="0.25">
      <c r="B36" s="14" t="s">
        <v>56</v>
      </c>
      <c r="C36" s="26" t="s">
        <v>57</v>
      </c>
      <c r="D36" s="26" t="s">
        <v>57</v>
      </c>
      <c r="E36" s="26"/>
      <c r="F36" s="14"/>
      <c r="G36" s="25"/>
      <c r="H36" s="28" t="str">
        <f>IFERROR(G36*$G$19,"-")</f>
        <v>-</v>
      </c>
      <c r="I36" s="27" t="str">
        <f>IF(ISBLANK('Rateio de Crédito'!G18),"-",'Rateio de Crédito'!G18)</f>
        <v>-</v>
      </c>
    </row>
    <row r="37" spans="2:9" collapsed="1" x14ac:dyDescent="0.25">
      <c r="B37" s="30" t="s">
        <v>77</v>
      </c>
      <c r="C37" s="30"/>
      <c r="D37" s="31"/>
      <c r="E37" s="31"/>
      <c r="F37" s="31"/>
      <c r="G37" s="31"/>
      <c r="H37" s="32">
        <f>SUM(H27:H36)</f>
        <v>49510</v>
      </c>
      <c r="I37" s="31"/>
    </row>
    <row r="39" spans="2:9" ht="45" customHeight="1" x14ac:dyDescent="0.25">
      <c r="B39" s="67" t="s">
        <v>78</v>
      </c>
      <c r="C39" s="67"/>
      <c r="D39" s="67"/>
      <c r="E39" s="67"/>
      <c r="F39" s="67"/>
      <c r="G39" s="67"/>
      <c r="H39" s="67"/>
      <c r="I39" s="67"/>
    </row>
  </sheetData>
  <mergeCells count="11">
    <mergeCell ref="B1:J1"/>
    <mergeCell ref="B7:D7"/>
    <mergeCell ref="F7:G7"/>
    <mergeCell ref="I7:J7"/>
    <mergeCell ref="B39:I39"/>
    <mergeCell ref="B2:M2"/>
    <mergeCell ref="B4:D4"/>
    <mergeCell ref="G4:H4"/>
    <mergeCell ref="B6:D6"/>
    <mergeCell ref="F6:G6"/>
    <mergeCell ref="I6:J6"/>
  </mergeCells>
  <dataValidations count="1">
    <dataValidation type="list" errorTitle="Competência inválida" error="Escolha uma competência já lançada na aba 'Resumo Usinas (Histórico)'." sqref="E4" xr:uid="{00000000-0002-0000-0100-000000000000}">
      <formula1>CompetenciasDisponiveis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3BA8-97D5-45B2-9967-75205E2FFE7C}">
  <sheetPr>
    <tabColor theme="9" tint="-0.249977111117893"/>
  </sheetPr>
  <dimension ref="A1:S42"/>
  <sheetViews>
    <sheetView showGridLines="0" topLeftCell="C1" zoomScaleNormal="100" workbookViewId="0">
      <selection activeCell="S10" sqref="S10"/>
    </sheetView>
  </sheetViews>
  <sheetFormatPr defaultColWidth="8.7109375" defaultRowHeight="11.25" x14ac:dyDescent="0.2"/>
  <cols>
    <col min="1" max="1" width="14" style="33" customWidth="1"/>
    <col min="2" max="2" width="9.5703125" style="33" bestFit="1" customWidth="1"/>
    <col min="3" max="3" width="9.5703125" style="33" customWidth="1"/>
    <col min="4" max="4" width="15.7109375" style="33" bestFit="1" customWidth="1"/>
    <col min="5" max="5" width="18.85546875" style="33" bestFit="1" customWidth="1"/>
    <col min="6" max="6" width="16.28515625" style="33" bestFit="1" customWidth="1"/>
    <col min="7" max="7" width="2.7109375" style="33" customWidth="1"/>
    <col min="8" max="8" width="11.7109375" style="33" bestFit="1" customWidth="1"/>
    <col min="9" max="9" width="17.5703125" style="33" bestFit="1" customWidth="1"/>
    <col min="10" max="10" width="2.7109375" style="33" customWidth="1"/>
    <col min="11" max="11" width="14.140625" style="33" bestFit="1" customWidth="1"/>
    <col min="12" max="12" width="14.140625" style="33" customWidth="1"/>
    <col min="13" max="13" width="15.85546875" style="33" bestFit="1" customWidth="1"/>
    <col min="14" max="14" width="19" style="33" bestFit="1" customWidth="1"/>
    <col min="15" max="15" width="16.42578125" style="33" bestFit="1" customWidth="1"/>
    <col min="16" max="16" width="9.5703125" style="33" bestFit="1" customWidth="1"/>
    <col min="17" max="17" width="8.7109375" style="33"/>
    <col min="18" max="18" width="12.85546875" style="33" customWidth="1"/>
    <col min="19" max="19" width="68.7109375" style="33" customWidth="1"/>
    <col min="20" max="16384" width="8.7109375" style="33"/>
  </cols>
  <sheetData>
    <row r="1" spans="1:19" ht="16.5" x14ac:dyDescent="0.25">
      <c r="A1" s="80" t="s">
        <v>139</v>
      </c>
      <c r="B1" s="80"/>
      <c r="C1" s="80"/>
      <c r="D1" s="80"/>
      <c r="E1" s="80"/>
      <c r="F1" s="80"/>
      <c r="G1" s="80"/>
    </row>
    <row r="2" spans="1:19" x14ac:dyDescent="0.2">
      <c r="A2" s="81" t="s">
        <v>140</v>
      </c>
      <c r="B2" s="81"/>
      <c r="C2" s="81"/>
      <c r="D2" s="81"/>
      <c r="E2" s="81"/>
      <c r="F2" s="81"/>
      <c r="G2" s="81"/>
    </row>
    <row r="3" spans="1:19" ht="15" customHeight="1" x14ac:dyDescent="0.2">
      <c r="A3" s="42"/>
      <c r="B3" s="42"/>
      <c r="C3" s="42"/>
      <c r="D3" s="42"/>
      <c r="E3" s="42"/>
      <c r="F3" s="42"/>
      <c r="G3" s="42"/>
      <c r="K3" s="82" t="s">
        <v>148</v>
      </c>
      <c r="L3" s="83"/>
      <c r="M3" s="83"/>
      <c r="N3" s="83"/>
      <c r="O3" s="84"/>
      <c r="P3" s="78" t="s">
        <v>62</v>
      </c>
      <c r="R3" s="43" t="s">
        <v>152</v>
      </c>
    </row>
    <row r="4" spans="1:19" ht="15" customHeight="1" x14ac:dyDescent="0.2">
      <c r="K4" s="40">
        <v>7030102643</v>
      </c>
      <c r="L4" s="8">
        <v>7031754431</v>
      </c>
      <c r="M4" s="40">
        <v>7030869049</v>
      </c>
      <c r="N4" s="40">
        <v>7030869065</v>
      </c>
      <c r="O4" s="40">
        <v>7030869294</v>
      </c>
      <c r="P4" s="78"/>
      <c r="R4" s="43" t="s">
        <v>153</v>
      </c>
      <c r="S4" s="33" t="s">
        <v>154</v>
      </c>
    </row>
    <row r="5" spans="1:19" x14ac:dyDescent="0.2">
      <c r="A5" s="8" t="s">
        <v>64</v>
      </c>
      <c r="B5" s="8">
        <v>7030102643</v>
      </c>
      <c r="C5" s="8">
        <v>7031754431</v>
      </c>
      <c r="D5" s="8">
        <v>7030869049</v>
      </c>
      <c r="E5" s="8">
        <v>7030869065</v>
      </c>
      <c r="F5" s="8">
        <v>7030869294</v>
      </c>
      <c r="K5" s="40" t="s">
        <v>149</v>
      </c>
      <c r="L5" s="40" t="s">
        <v>149</v>
      </c>
      <c r="M5" s="40" t="s">
        <v>150</v>
      </c>
      <c r="N5" s="40" t="s">
        <v>151</v>
      </c>
      <c r="O5" s="40" t="s">
        <v>150</v>
      </c>
      <c r="P5" s="78"/>
      <c r="R5" s="43" t="s">
        <v>155</v>
      </c>
      <c r="S5" s="33" t="s">
        <v>156</v>
      </c>
    </row>
    <row r="6" spans="1:19" x14ac:dyDescent="0.2">
      <c r="A6" s="8" t="s">
        <v>84</v>
      </c>
      <c r="B6" s="8" t="s">
        <v>141</v>
      </c>
      <c r="C6" s="8" t="s">
        <v>141</v>
      </c>
      <c r="D6" s="8" t="s">
        <v>142</v>
      </c>
      <c r="E6" s="8" t="s">
        <v>143</v>
      </c>
      <c r="F6" s="8" t="s">
        <v>144</v>
      </c>
      <c r="H6" s="40" t="s">
        <v>146</v>
      </c>
      <c r="I6" s="40" t="s">
        <v>147</v>
      </c>
      <c r="K6" s="40" t="s">
        <v>141</v>
      </c>
      <c r="L6" s="40" t="s">
        <v>141</v>
      </c>
      <c r="M6" s="40" t="s">
        <v>142</v>
      </c>
      <c r="N6" s="40" t="s">
        <v>143</v>
      </c>
      <c r="O6" s="40" t="s">
        <v>144</v>
      </c>
      <c r="P6" s="79"/>
      <c r="R6" s="43" t="s">
        <v>157</v>
      </c>
      <c r="S6" s="33" t="s">
        <v>158</v>
      </c>
    </row>
    <row r="7" spans="1:19" x14ac:dyDescent="0.2">
      <c r="A7" s="12">
        <f>_xlfn.MINIFS('Resumo Usinas (Histórico)'!$H$5:$H$500,'Resumo Usinas (Histórico)'!$J$5:$J$500,"&lt;&gt;")</f>
        <v>46204</v>
      </c>
      <c r="B7" s="13">
        <f>IF(COUNTIFS('Dados Mensais (Histórico)'!$B$5:$B$521,B$5,'Dados Mensais (Histórico)'!$E$5:$E$521,$A7)=0,"",SUMIFS('Dados Mensais (Histórico)'!$J$5:$J$521,'Dados Mensais (Histórico)'!$B$5:$B$521,B$5,'Dados Mensais (Histórico)'!$E$5:$E$521,$A7))</f>
        <v>338</v>
      </c>
      <c r="C7" s="13" t="str">
        <f>IF(COUNTIFS('Dados Mensais (Histórico)'!$B$5:$B$521,C$5,'Dados Mensais (Histórico)'!$E$5:$E$521,$A7)=0,"",SUMIFS('Dados Mensais (Histórico)'!$J$5:$J$521,'Dados Mensais (Histórico)'!$B$5:$B$521,C$5,'Dados Mensais (Histórico)'!$E$5:$E$521,$A7))</f>
        <v/>
      </c>
      <c r="D7" s="13">
        <f>IF(COUNTIFS('Dados Mensais (Histórico)'!$B$5:$B$521,D$5,'Dados Mensais (Histórico)'!$E$5:$E$521,$A7)=0,"",SUMIFS('Dados Mensais (Histórico)'!$J$5:$J$521,'Dados Mensais (Histórico)'!$B$5:$B$521,D$5,'Dados Mensais (Histórico)'!$E$5:$E$521,$A7))</f>
        <v>875</v>
      </c>
      <c r="E7" s="13">
        <f>IF(COUNTIFS('Dados Mensais (Histórico)'!$B$5:$B$521,E$5,'Dados Mensais (Histórico)'!$E$5:$E$521,$A7)=0,"",SUMIFS('Dados Mensais (Histórico)'!$J$5:$J$521,'Dados Mensais (Histórico)'!$B$5:$B$521,E$5,'Dados Mensais (Histórico)'!$E$5:$E$521,$A7))</f>
        <v>1158</v>
      </c>
      <c r="F7" s="13">
        <f>IF(COUNTIFS('Dados Mensais (Histórico)'!$B$5:$B$521,F$5,'Dados Mensais (Histórico)'!$E$5:$E$521,$A7)=0,"",SUMIFS('Dados Mensais (Histórico)'!$J$5:$J$521,'Dados Mensais (Histórico)'!$B$5:$B$521,F$5,'Dados Mensais (Histórico)'!$E$5:$E$521,$A7))</f>
        <v>608</v>
      </c>
      <c r="H7" s="41">
        <f>'Preco (R$ x KWh)'!B26</f>
        <v>1.0319782800000001</v>
      </c>
      <c r="I7" s="41">
        <f>H7*0.7</f>
        <v>0.72238479600000005</v>
      </c>
      <c r="K7" s="13">
        <f>IF(B7="","",ROUND(B7*$I7,2))</f>
        <v>244.17</v>
      </c>
      <c r="L7" s="13" t="str">
        <f>IF(C7="","",ROUND(C7*$I7,2))</f>
        <v/>
      </c>
      <c r="M7" s="13">
        <f>IF(D7="","",ROUND(D7*$I7,2))</f>
        <v>632.09</v>
      </c>
      <c r="N7" s="13">
        <f>IF(E7="","",ROUND(E7*$I7,2))</f>
        <v>836.52</v>
      </c>
      <c r="O7" s="13">
        <f>IF(F7="","",ROUND(F7*$I7,2))</f>
        <v>439.21</v>
      </c>
      <c r="P7" s="13">
        <f>SUM(K7:O7)</f>
        <v>2151.9899999999998</v>
      </c>
      <c r="R7" s="43"/>
    </row>
    <row r="8" spans="1:19" x14ac:dyDescent="0.2">
      <c r="A8" s="12">
        <f t="shared" ref="A8:A42" si="0">EDATE(A7,1)</f>
        <v>46235</v>
      </c>
      <c r="B8" s="13">
        <f>IF(COUNTIFS('Dados Mensais (Histórico)'!$B$5:$B$521,B$5,'Dados Mensais (Histórico)'!$E$5:$E$521,$A8)=0,"",SUMIFS('Dados Mensais (Histórico)'!$J$5:$J$521,'Dados Mensais (Histórico)'!$B$5:$B$521,B$5,'Dados Mensais (Histórico)'!$E$5:$E$521,$A8))</f>
        <v>3425</v>
      </c>
      <c r="C8" s="13" t="str">
        <f>IF(COUNTIFS('Dados Mensais (Histórico)'!$B$5:$B$521,C$5,'Dados Mensais (Histórico)'!$E$5:$E$521,$A8)=0,"",SUMIFS('Dados Mensais (Histórico)'!$J$5:$J$521,'Dados Mensais (Histórico)'!$B$5:$B$521,C$5,'Dados Mensais (Histórico)'!$E$5:$E$521,$A8))</f>
        <v/>
      </c>
      <c r="D8" s="13">
        <f>IF(COUNTIFS('Dados Mensais (Histórico)'!$B$5:$B$521,D$5,'Dados Mensais (Histórico)'!$E$5:$E$521,$A8)=0,"",SUMIFS('Dados Mensais (Histórico)'!$J$5:$J$521,'Dados Mensais (Histórico)'!$B$5:$B$521,D$5,'Dados Mensais (Histórico)'!$E$5:$E$521,$A8))</f>
        <v>3585</v>
      </c>
      <c r="E8" s="13">
        <f>IF(COUNTIFS('Dados Mensais (Histórico)'!$B$5:$B$521,E$5,'Dados Mensais (Histórico)'!$E$5:$E$521,$A8)=0,"",SUMIFS('Dados Mensais (Histórico)'!$J$5:$J$521,'Dados Mensais (Histórico)'!$B$5:$B$521,E$5,'Dados Mensais (Histórico)'!$E$5:$E$521,$A8))</f>
        <v>3334</v>
      </c>
      <c r="F8" s="13">
        <f>IF(COUNTIFS('Dados Mensais (Histórico)'!$B$5:$B$521,F$5,'Dados Mensais (Histórico)'!$E$5:$E$521,$A8)=0,"",SUMIFS('Dados Mensais (Histórico)'!$J$5:$J$521,'Dados Mensais (Histórico)'!$B$5:$B$521,F$5,'Dados Mensais (Histórico)'!$E$5:$E$521,$A8))</f>
        <v>3322</v>
      </c>
      <c r="H8" s="41">
        <f>'Preco (R$ x KWh)'!B27</f>
        <v>1.0347311000000001</v>
      </c>
      <c r="I8" s="41">
        <f t="shared" ref="I8:I42" si="1">H8*0.7</f>
        <v>0.72431177000000002</v>
      </c>
      <c r="K8" s="13">
        <f t="shared" ref="K8:L42" si="2">IF(B8="","",ROUND(B8*$I8,2))</f>
        <v>2480.77</v>
      </c>
      <c r="L8" s="13" t="str">
        <f t="shared" si="2"/>
        <v/>
      </c>
      <c r="M8" s="13">
        <f t="shared" ref="M8:M42" si="3">IF(D8="","",ROUND(D8*$I8,2))</f>
        <v>2596.66</v>
      </c>
      <c r="N8" s="13">
        <f t="shared" ref="N8:N42" si="4">IF(E8="","",ROUND(E8*$I8,2))</f>
        <v>2414.86</v>
      </c>
      <c r="O8" s="13">
        <f t="shared" ref="O8:O42" si="5">IF(F8="","",ROUND(F8*$I8,2))</f>
        <v>2406.16</v>
      </c>
      <c r="P8" s="13">
        <f t="shared" ref="P8:P42" si="6">SUM(K8:O8)</f>
        <v>9898.4500000000007</v>
      </c>
      <c r="R8" s="43" t="s">
        <v>159</v>
      </c>
      <c r="S8" s="44" t="s">
        <v>163</v>
      </c>
    </row>
    <row r="9" spans="1:19" ht="22.5" x14ac:dyDescent="0.2">
      <c r="A9" s="12">
        <f t="shared" si="0"/>
        <v>46266</v>
      </c>
      <c r="B9" s="13">
        <f>IF(COUNTIFS('Dados Mensais (Histórico)'!$B$5:$B$521,B$5,'Dados Mensais (Histórico)'!$E$5:$E$521,$A9)=0,"",SUMIFS('Dados Mensais (Histórico)'!$J$5:$J$521,'Dados Mensais (Histórico)'!$B$5:$B$521,B$5,'Dados Mensais (Histórico)'!$E$5:$E$521,$A9))</f>
        <v>4699</v>
      </c>
      <c r="C9" s="13" t="str">
        <f>IF(COUNTIFS('Dados Mensais (Histórico)'!$B$5:$B$521,C$5,'Dados Mensais (Histórico)'!$E$5:$E$521,$A9)=0,"",SUMIFS('Dados Mensais (Histórico)'!$J$5:$J$521,'Dados Mensais (Histórico)'!$B$5:$B$521,C$5,'Dados Mensais (Histórico)'!$E$5:$E$521,$A9))</f>
        <v/>
      </c>
      <c r="D9" s="13">
        <f>IF(COUNTIFS('Dados Mensais (Histórico)'!$B$5:$B$521,D$5,'Dados Mensais (Histórico)'!$E$5:$E$521,$A9)=0,"",SUMIFS('Dados Mensais (Histórico)'!$J$5:$J$521,'Dados Mensais (Histórico)'!$B$5:$B$521,D$5,'Dados Mensais (Histórico)'!$E$5:$E$521,$A9))</f>
        <v>4371</v>
      </c>
      <c r="E9" s="13">
        <f>IF(COUNTIFS('Dados Mensais (Histórico)'!$B$5:$B$521,E$5,'Dados Mensais (Histórico)'!$E$5:$E$521,$A9)=0,"",SUMIFS('Dados Mensais (Histórico)'!$J$5:$J$521,'Dados Mensais (Histórico)'!$B$5:$B$521,E$5,'Dados Mensais (Histórico)'!$E$5:$E$521,$A9))</f>
        <v>3223</v>
      </c>
      <c r="F9" s="13">
        <f>IF(COUNTIFS('Dados Mensais (Histórico)'!$B$5:$B$521,F$5,'Dados Mensais (Histórico)'!$E$5:$E$521,$A9)=0,"",SUMIFS('Dados Mensais (Histórico)'!$J$5:$J$521,'Dados Mensais (Histórico)'!$B$5:$B$521,F$5,'Dados Mensais (Histórico)'!$E$5:$E$521,$A9))</f>
        <v>5152</v>
      </c>
      <c r="H9" s="41">
        <f>'Preco (R$ x KWh)'!B28</f>
        <v>1.0448766199999999</v>
      </c>
      <c r="I9" s="41">
        <f t="shared" si="1"/>
        <v>0.73141363399999992</v>
      </c>
      <c r="K9" s="13">
        <f t="shared" si="2"/>
        <v>3436.91</v>
      </c>
      <c r="L9" s="13" t="str">
        <f t="shared" si="2"/>
        <v/>
      </c>
      <c r="M9" s="13">
        <f t="shared" si="3"/>
        <v>3197.01</v>
      </c>
      <c r="N9" s="13">
        <f t="shared" si="4"/>
        <v>2357.35</v>
      </c>
      <c r="O9" s="13">
        <f t="shared" si="5"/>
        <v>3768.24</v>
      </c>
      <c r="P9" s="13">
        <f t="shared" si="6"/>
        <v>12759.51</v>
      </c>
      <c r="R9" s="45" t="s">
        <v>160</v>
      </c>
      <c r="S9" s="44" t="s">
        <v>188</v>
      </c>
    </row>
    <row r="10" spans="1:19" x14ac:dyDescent="0.2">
      <c r="A10" s="12">
        <f t="shared" si="0"/>
        <v>46296</v>
      </c>
      <c r="B10" s="13">
        <f>IF(COUNTIFS('Dados Mensais (Histórico)'!$B$5:$B$521,B$5,'Dados Mensais (Histórico)'!$E$5:$E$521,$A10)=0,"",SUMIFS('Dados Mensais (Histórico)'!$J$5:$J$521,'Dados Mensais (Histórico)'!$B$5:$B$521,B$5,'Dados Mensais (Histórico)'!$E$5:$E$521,$A10))</f>
        <v>4368</v>
      </c>
      <c r="C10" s="13">
        <f>IF(COUNTIFS('Dados Mensais (Histórico)'!$B$5:$B$521,C$5,'Dados Mensais (Histórico)'!$E$5:$E$521,$A10)=0,"",SUMIFS('Dados Mensais (Histórico)'!$J$5:$J$521,'Dados Mensais (Histórico)'!$B$5:$B$521,C$5,'Dados Mensais (Histórico)'!$E$5:$E$521,$A10))</f>
        <v>3633</v>
      </c>
      <c r="D10" s="13">
        <f>IF(COUNTIFS('Dados Mensais (Histórico)'!$B$5:$B$521,D$5,'Dados Mensais (Histórico)'!$E$5:$E$521,$A10)=0,"",SUMIFS('Dados Mensais (Histórico)'!$J$5:$J$521,'Dados Mensais (Histórico)'!$B$5:$B$521,D$5,'Dados Mensais (Histórico)'!$E$5:$E$521,$A10))</f>
        <v>6327</v>
      </c>
      <c r="E10" s="13" t="str">
        <f>IF(COUNTIFS('Dados Mensais (Histórico)'!$B$5:$B$521,E$5,'Dados Mensais (Histórico)'!$E$5:$E$521,$A10)=0,"",SUMIFS('Dados Mensais (Histórico)'!$J$5:$J$521,'Dados Mensais (Histórico)'!$B$5:$B$521,E$5,'Dados Mensais (Histórico)'!$E$5:$E$521,$A10))</f>
        <v/>
      </c>
      <c r="F10" s="13">
        <f>IF(COUNTIFS('Dados Mensais (Histórico)'!$B$5:$B$521,F$5,'Dados Mensais (Histórico)'!$E$5:$E$521,$A10)=0,"",SUMIFS('Dados Mensais (Histórico)'!$J$5:$J$521,'Dados Mensais (Histórico)'!$B$5:$B$521,F$5,'Dados Mensais (Histórico)'!$E$5:$E$521,$A10))</f>
        <v>10133</v>
      </c>
      <c r="H10" s="41">
        <f>'Preco (R$ x KWh)'!B29</f>
        <v>1.0284759699999999</v>
      </c>
      <c r="I10" s="41">
        <f t="shared" si="1"/>
        <v>0.71993317899999987</v>
      </c>
      <c r="K10" s="13">
        <f t="shared" si="2"/>
        <v>3144.67</v>
      </c>
      <c r="L10" s="13">
        <f t="shared" si="2"/>
        <v>2615.52</v>
      </c>
      <c r="M10" s="13">
        <f t="shared" si="3"/>
        <v>4555.0200000000004</v>
      </c>
      <c r="N10" s="13" t="str">
        <f t="shared" si="4"/>
        <v/>
      </c>
      <c r="O10" s="13">
        <f t="shared" si="5"/>
        <v>7295.08</v>
      </c>
      <c r="P10" s="13">
        <f t="shared" si="6"/>
        <v>17610.29</v>
      </c>
      <c r="R10" s="43" t="s">
        <v>161</v>
      </c>
      <c r="S10" s="33" t="s">
        <v>162</v>
      </c>
    </row>
    <row r="11" spans="1:19" x14ac:dyDescent="0.2">
      <c r="A11" s="12">
        <f t="shared" si="0"/>
        <v>46327</v>
      </c>
      <c r="B11" s="13" t="str">
        <f>IF(COUNTIFS('Dados Mensais (Histórico)'!$B$5:$B$521,B$5,'Dados Mensais (Histórico)'!$E$5:$E$521,$A11)=0,"",SUMIFS('Dados Mensais (Histórico)'!$J$5:$J$521,'Dados Mensais (Histórico)'!$B$5:$B$521,B$5,'Dados Mensais (Histórico)'!$E$5:$E$521,$A11))</f>
        <v/>
      </c>
      <c r="C11" s="13" t="str">
        <f>IF(COUNTIFS('Dados Mensais (Histórico)'!$B$5:$B$521,C$5,'Dados Mensais (Histórico)'!$E$5:$E$521,$A11)=0,"",SUMIFS('Dados Mensais (Histórico)'!$J$5:$J$521,'Dados Mensais (Histórico)'!$B$5:$B$521,C$5,'Dados Mensais (Histórico)'!$E$5:$E$521,$A11))</f>
        <v/>
      </c>
      <c r="D11" s="13" t="str">
        <f>IF(COUNTIFS('Dados Mensais (Histórico)'!$B$5:$B$521,D$5,'Dados Mensais (Histórico)'!$E$5:$E$521,$A11)=0,"",SUMIFS('Dados Mensais (Histórico)'!$J$5:$J$521,'Dados Mensais (Histórico)'!$B$5:$B$521,D$5,'Dados Mensais (Histórico)'!$E$5:$E$521,$A11))</f>
        <v/>
      </c>
      <c r="E11" s="13" t="str">
        <f>IF(COUNTIFS('Dados Mensais (Histórico)'!$B$5:$B$521,E$5,'Dados Mensais (Histórico)'!$E$5:$E$521,$A11)=0,"",SUMIFS('Dados Mensais (Histórico)'!$J$5:$J$521,'Dados Mensais (Histórico)'!$B$5:$B$521,E$5,'Dados Mensais (Histórico)'!$E$5:$E$521,$A11))</f>
        <v/>
      </c>
      <c r="F11" s="13" t="str">
        <f>IF(COUNTIFS('Dados Mensais (Histórico)'!$B$5:$B$521,F$5,'Dados Mensais (Histórico)'!$E$5:$E$521,$A11)=0,"",SUMIFS('Dados Mensais (Histórico)'!$J$5:$J$521,'Dados Mensais (Histórico)'!$B$5:$B$521,F$5,'Dados Mensais (Histórico)'!$E$5:$E$521,$A11))</f>
        <v/>
      </c>
      <c r="H11" s="41">
        <f>'Preco (R$ x KWh)'!B30</f>
        <v>0</v>
      </c>
      <c r="I11" s="41">
        <f t="shared" si="1"/>
        <v>0</v>
      </c>
      <c r="K11" s="13" t="str">
        <f t="shared" si="2"/>
        <v/>
      </c>
      <c r="L11" s="13" t="str">
        <f t="shared" si="2"/>
        <v/>
      </c>
      <c r="M11" s="13" t="str">
        <f t="shared" si="3"/>
        <v/>
      </c>
      <c r="N11" s="13" t="str">
        <f t="shared" si="4"/>
        <v/>
      </c>
      <c r="O11" s="13" t="str">
        <f t="shared" si="5"/>
        <v/>
      </c>
      <c r="P11" s="13">
        <f t="shared" si="6"/>
        <v>0</v>
      </c>
    </row>
    <row r="12" spans="1:19" x14ac:dyDescent="0.2">
      <c r="A12" s="12">
        <f t="shared" si="0"/>
        <v>46357</v>
      </c>
      <c r="B12" s="13" t="str">
        <f>IF(COUNTIFS('Dados Mensais (Histórico)'!$B$5:$B$521,B$5,'Dados Mensais (Histórico)'!$E$5:$E$521,$A12)=0,"",SUMIFS('Dados Mensais (Histórico)'!$J$5:$J$521,'Dados Mensais (Histórico)'!$B$5:$B$521,B$5,'Dados Mensais (Histórico)'!$E$5:$E$521,$A12))</f>
        <v/>
      </c>
      <c r="C12" s="13" t="str">
        <f>IF(COUNTIFS('Dados Mensais (Histórico)'!$B$5:$B$521,C$5,'Dados Mensais (Histórico)'!$E$5:$E$521,$A12)=0,"",SUMIFS('Dados Mensais (Histórico)'!$J$5:$J$521,'Dados Mensais (Histórico)'!$B$5:$B$521,C$5,'Dados Mensais (Histórico)'!$E$5:$E$521,$A12))</f>
        <v/>
      </c>
      <c r="D12" s="13" t="str">
        <f>IF(COUNTIFS('Dados Mensais (Histórico)'!$B$5:$B$521,D$5,'Dados Mensais (Histórico)'!$E$5:$E$521,$A12)=0,"",SUMIFS('Dados Mensais (Histórico)'!$J$5:$J$521,'Dados Mensais (Histórico)'!$B$5:$B$521,D$5,'Dados Mensais (Histórico)'!$E$5:$E$521,$A12))</f>
        <v/>
      </c>
      <c r="E12" s="13" t="str">
        <f>IF(COUNTIFS('Dados Mensais (Histórico)'!$B$5:$B$521,E$5,'Dados Mensais (Histórico)'!$E$5:$E$521,$A12)=0,"",SUMIFS('Dados Mensais (Histórico)'!$J$5:$J$521,'Dados Mensais (Histórico)'!$B$5:$B$521,E$5,'Dados Mensais (Histórico)'!$E$5:$E$521,$A12))</f>
        <v/>
      </c>
      <c r="F12" s="13" t="str">
        <f>IF(COUNTIFS('Dados Mensais (Histórico)'!$B$5:$B$521,F$5,'Dados Mensais (Histórico)'!$E$5:$E$521,$A12)=0,"",SUMIFS('Dados Mensais (Histórico)'!$J$5:$J$521,'Dados Mensais (Histórico)'!$B$5:$B$521,F$5,'Dados Mensais (Histórico)'!$E$5:$E$521,$A12))</f>
        <v/>
      </c>
      <c r="H12" s="41">
        <f>'Preco (R$ x KWh)'!B31</f>
        <v>0</v>
      </c>
      <c r="I12" s="41">
        <f t="shared" si="1"/>
        <v>0</v>
      </c>
      <c r="K12" s="13" t="str">
        <f t="shared" si="2"/>
        <v/>
      </c>
      <c r="L12" s="13" t="str">
        <f t="shared" si="2"/>
        <v/>
      </c>
      <c r="M12" s="13" t="str">
        <f t="shared" si="3"/>
        <v/>
      </c>
      <c r="N12" s="13" t="str">
        <f t="shared" si="4"/>
        <v/>
      </c>
      <c r="O12" s="13" t="str">
        <f t="shared" si="5"/>
        <v/>
      </c>
      <c r="P12" s="13">
        <f t="shared" si="6"/>
        <v>0</v>
      </c>
    </row>
    <row r="13" spans="1:19" x14ac:dyDescent="0.2">
      <c r="A13" s="12">
        <f t="shared" si="0"/>
        <v>46388</v>
      </c>
      <c r="B13" s="13" t="str">
        <f>IF(COUNTIFS('Dados Mensais (Histórico)'!$B$5:$B$521,B$5,'Dados Mensais (Histórico)'!$E$5:$E$521,$A13)=0,"",SUMIFS('Dados Mensais (Histórico)'!$J$5:$J$521,'Dados Mensais (Histórico)'!$B$5:$B$521,B$5,'Dados Mensais (Histórico)'!$E$5:$E$521,$A13))</f>
        <v/>
      </c>
      <c r="C13" s="13" t="str">
        <f>IF(COUNTIFS('Dados Mensais (Histórico)'!$B$5:$B$521,C$5,'Dados Mensais (Histórico)'!$E$5:$E$521,$A13)=0,"",SUMIFS('Dados Mensais (Histórico)'!$J$5:$J$521,'Dados Mensais (Histórico)'!$B$5:$B$521,C$5,'Dados Mensais (Histórico)'!$E$5:$E$521,$A13))</f>
        <v/>
      </c>
      <c r="D13" s="13" t="str">
        <f>IF(COUNTIFS('Dados Mensais (Histórico)'!$B$5:$B$521,D$5,'Dados Mensais (Histórico)'!$E$5:$E$521,$A13)=0,"",SUMIFS('Dados Mensais (Histórico)'!$J$5:$J$521,'Dados Mensais (Histórico)'!$B$5:$B$521,D$5,'Dados Mensais (Histórico)'!$E$5:$E$521,$A13))</f>
        <v/>
      </c>
      <c r="E13" s="13" t="str">
        <f>IF(COUNTIFS('Dados Mensais (Histórico)'!$B$5:$B$521,E$5,'Dados Mensais (Histórico)'!$E$5:$E$521,$A13)=0,"",SUMIFS('Dados Mensais (Histórico)'!$J$5:$J$521,'Dados Mensais (Histórico)'!$B$5:$B$521,E$5,'Dados Mensais (Histórico)'!$E$5:$E$521,$A13))</f>
        <v/>
      </c>
      <c r="F13" s="13" t="str">
        <f>IF(COUNTIFS('Dados Mensais (Histórico)'!$B$5:$B$521,F$5,'Dados Mensais (Histórico)'!$E$5:$E$521,$A13)=0,"",SUMIFS('Dados Mensais (Histórico)'!$J$5:$J$521,'Dados Mensais (Histórico)'!$B$5:$B$521,F$5,'Dados Mensais (Histórico)'!$E$5:$E$521,$A13))</f>
        <v/>
      </c>
      <c r="H13" s="41">
        <f>'Preco (R$ x KWh)'!B32</f>
        <v>0</v>
      </c>
      <c r="I13" s="41">
        <f t="shared" si="1"/>
        <v>0</v>
      </c>
      <c r="K13" s="13" t="str">
        <f t="shared" si="2"/>
        <v/>
      </c>
      <c r="L13" s="13" t="str">
        <f t="shared" si="2"/>
        <v/>
      </c>
      <c r="M13" s="13" t="str">
        <f t="shared" si="3"/>
        <v/>
      </c>
      <c r="N13" s="13" t="str">
        <f t="shared" si="4"/>
        <v/>
      </c>
      <c r="O13" s="13" t="str">
        <f t="shared" si="5"/>
        <v/>
      </c>
      <c r="P13" s="13">
        <f t="shared" si="6"/>
        <v>0</v>
      </c>
    </row>
    <row r="14" spans="1:19" x14ac:dyDescent="0.2">
      <c r="A14" s="12">
        <f t="shared" si="0"/>
        <v>46419</v>
      </c>
      <c r="B14" s="13" t="str">
        <f>IF(COUNTIFS('Dados Mensais (Histórico)'!$B$5:$B$521,B$5,'Dados Mensais (Histórico)'!$E$5:$E$521,$A14)=0,"",SUMIFS('Dados Mensais (Histórico)'!$J$5:$J$521,'Dados Mensais (Histórico)'!$B$5:$B$521,B$5,'Dados Mensais (Histórico)'!$E$5:$E$521,$A14))</f>
        <v/>
      </c>
      <c r="C14" s="13" t="str">
        <f>IF(COUNTIFS('Dados Mensais (Histórico)'!$B$5:$B$521,C$5,'Dados Mensais (Histórico)'!$E$5:$E$521,$A14)=0,"",SUMIFS('Dados Mensais (Histórico)'!$J$5:$J$521,'Dados Mensais (Histórico)'!$B$5:$B$521,C$5,'Dados Mensais (Histórico)'!$E$5:$E$521,$A14))</f>
        <v/>
      </c>
      <c r="D14" s="13" t="str">
        <f>IF(COUNTIFS('Dados Mensais (Histórico)'!$B$5:$B$521,D$5,'Dados Mensais (Histórico)'!$E$5:$E$521,$A14)=0,"",SUMIFS('Dados Mensais (Histórico)'!$J$5:$J$521,'Dados Mensais (Histórico)'!$B$5:$B$521,D$5,'Dados Mensais (Histórico)'!$E$5:$E$521,$A14))</f>
        <v/>
      </c>
      <c r="E14" s="13" t="str">
        <f>IF(COUNTIFS('Dados Mensais (Histórico)'!$B$5:$B$521,E$5,'Dados Mensais (Histórico)'!$E$5:$E$521,$A14)=0,"",SUMIFS('Dados Mensais (Histórico)'!$J$5:$J$521,'Dados Mensais (Histórico)'!$B$5:$B$521,E$5,'Dados Mensais (Histórico)'!$E$5:$E$521,$A14))</f>
        <v/>
      </c>
      <c r="F14" s="13" t="str">
        <f>IF(COUNTIFS('Dados Mensais (Histórico)'!$B$5:$B$521,F$5,'Dados Mensais (Histórico)'!$E$5:$E$521,$A14)=0,"",SUMIFS('Dados Mensais (Histórico)'!$J$5:$J$521,'Dados Mensais (Histórico)'!$B$5:$B$521,F$5,'Dados Mensais (Histórico)'!$E$5:$E$521,$A14))</f>
        <v/>
      </c>
      <c r="H14" s="41">
        <f>'Preco (R$ x KWh)'!B33</f>
        <v>0</v>
      </c>
      <c r="I14" s="41">
        <f t="shared" si="1"/>
        <v>0</v>
      </c>
      <c r="K14" s="13" t="str">
        <f t="shared" si="2"/>
        <v/>
      </c>
      <c r="L14" s="13" t="str">
        <f t="shared" si="2"/>
        <v/>
      </c>
      <c r="M14" s="13" t="str">
        <f t="shared" si="3"/>
        <v/>
      </c>
      <c r="N14" s="13" t="str">
        <f t="shared" si="4"/>
        <v/>
      </c>
      <c r="O14" s="13" t="str">
        <f t="shared" si="5"/>
        <v/>
      </c>
      <c r="P14" s="13">
        <f t="shared" si="6"/>
        <v>0</v>
      </c>
    </row>
    <row r="15" spans="1:19" x14ac:dyDescent="0.2">
      <c r="A15" s="12">
        <f t="shared" si="0"/>
        <v>46447</v>
      </c>
      <c r="B15" s="13" t="str">
        <f>IF(COUNTIFS('Dados Mensais (Histórico)'!$B$5:$B$521,B$5,'Dados Mensais (Histórico)'!$E$5:$E$521,$A15)=0,"",SUMIFS('Dados Mensais (Histórico)'!$J$5:$J$521,'Dados Mensais (Histórico)'!$B$5:$B$521,B$5,'Dados Mensais (Histórico)'!$E$5:$E$521,$A15))</f>
        <v/>
      </c>
      <c r="C15" s="13" t="str">
        <f>IF(COUNTIFS('Dados Mensais (Histórico)'!$B$5:$B$521,C$5,'Dados Mensais (Histórico)'!$E$5:$E$521,$A15)=0,"",SUMIFS('Dados Mensais (Histórico)'!$J$5:$J$521,'Dados Mensais (Histórico)'!$B$5:$B$521,C$5,'Dados Mensais (Histórico)'!$E$5:$E$521,$A15))</f>
        <v/>
      </c>
      <c r="D15" s="13" t="str">
        <f>IF(COUNTIFS('Dados Mensais (Histórico)'!$B$5:$B$521,D$5,'Dados Mensais (Histórico)'!$E$5:$E$521,$A15)=0,"",SUMIFS('Dados Mensais (Histórico)'!$J$5:$J$521,'Dados Mensais (Histórico)'!$B$5:$B$521,D$5,'Dados Mensais (Histórico)'!$E$5:$E$521,$A15))</f>
        <v/>
      </c>
      <c r="E15" s="13" t="str">
        <f>IF(COUNTIFS('Dados Mensais (Histórico)'!$B$5:$B$521,E$5,'Dados Mensais (Histórico)'!$E$5:$E$521,$A15)=0,"",SUMIFS('Dados Mensais (Histórico)'!$J$5:$J$521,'Dados Mensais (Histórico)'!$B$5:$B$521,E$5,'Dados Mensais (Histórico)'!$E$5:$E$521,$A15))</f>
        <v/>
      </c>
      <c r="F15" s="13" t="str">
        <f>IF(COUNTIFS('Dados Mensais (Histórico)'!$B$5:$B$521,F$5,'Dados Mensais (Histórico)'!$E$5:$E$521,$A15)=0,"",SUMIFS('Dados Mensais (Histórico)'!$J$5:$J$521,'Dados Mensais (Histórico)'!$B$5:$B$521,F$5,'Dados Mensais (Histórico)'!$E$5:$E$521,$A15))</f>
        <v/>
      </c>
      <c r="H15" s="41">
        <f>'Preco (R$ x KWh)'!B34</f>
        <v>0</v>
      </c>
      <c r="I15" s="41">
        <f t="shared" si="1"/>
        <v>0</v>
      </c>
      <c r="K15" s="13" t="str">
        <f t="shared" si="2"/>
        <v/>
      </c>
      <c r="L15" s="13" t="str">
        <f t="shared" si="2"/>
        <v/>
      </c>
      <c r="M15" s="13" t="str">
        <f t="shared" si="3"/>
        <v/>
      </c>
      <c r="N15" s="13" t="str">
        <f t="shared" si="4"/>
        <v/>
      </c>
      <c r="O15" s="13" t="str">
        <f t="shared" si="5"/>
        <v/>
      </c>
      <c r="P15" s="13">
        <f t="shared" si="6"/>
        <v>0</v>
      </c>
    </row>
    <row r="16" spans="1:19" x14ac:dyDescent="0.2">
      <c r="A16" s="12">
        <f t="shared" si="0"/>
        <v>46478</v>
      </c>
      <c r="B16" s="13" t="str">
        <f>IF(COUNTIFS('Dados Mensais (Histórico)'!$B$5:$B$521,B$5,'Dados Mensais (Histórico)'!$E$5:$E$521,$A16)=0,"",SUMIFS('Dados Mensais (Histórico)'!$J$5:$J$521,'Dados Mensais (Histórico)'!$B$5:$B$521,B$5,'Dados Mensais (Histórico)'!$E$5:$E$521,$A16))</f>
        <v/>
      </c>
      <c r="C16" s="13" t="str">
        <f>IF(COUNTIFS('Dados Mensais (Histórico)'!$B$5:$B$521,C$5,'Dados Mensais (Histórico)'!$E$5:$E$521,$A16)=0,"",SUMIFS('Dados Mensais (Histórico)'!$J$5:$J$521,'Dados Mensais (Histórico)'!$B$5:$B$521,C$5,'Dados Mensais (Histórico)'!$E$5:$E$521,$A16))</f>
        <v/>
      </c>
      <c r="D16" s="13" t="str">
        <f>IF(COUNTIFS('Dados Mensais (Histórico)'!$B$5:$B$521,D$5,'Dados Mensais (Histórico)'!$E$5:$E$521,$A16)=0,"",SUMIFS('Dados Mensais (Histórico)'!$J$5:$J$521,'Dados Mensais (Histórico)'!$B$5:$B$521,D$5,'Dados Mensais (Histórico)'!$E$5:$E$521,$A16))</f>
        <v/>
      </c>
      <c r="E16" s="13" t="str">
        <f>IF(COUNTIFS('Dados Mensais (Histórico)'!$B$5:$B$521,E$5,'Dados Mensais (Histórico)'!$E$5:$E$521,$A16)=0,"",SUMIFS('Dados Mensais (Histórico)'!$J$5:$J$521,'Dados Mensais (Histórico)'!$B$5:$B$521,E$5,'Dados Mensais (Histórico)'!$E$5:$E$521,$A16))</f>
        <v/>
      </c>
      <c r="F16" s="13" t="str">
        <f>IF(COUNTIFS('Dados Mensais (Histórico)'!$B$5:$B$521,F$5,'Dados Mensais (Histórico)'!$E$5:$E$521,$A16)=0,"",SUMIFS('Dados Mensais (Histórico)'!$J$5:$J$521,'Dados Mensais (Histórico)'!$B$5:$B$521,F$5,'Dados Mensais (Histórico)'!$E$5:$E$521,$A16))</f>
        <v/>
      </c>
      <c r="H16" s="41">
        <f>'Preco (R$ x KWh)'!B35</f>
        <v>0</v>
      </c>
      <c r="I16" s="41">
        <f t="shared" si="1"/>
        <v>0</v>
      </c>
      <c r="K16" s="13" t="str">
        <f t="shared" si="2"/>
        <v/>
      </c>
      <c r="L16" s="13" t="str">
        <f t="shared" si="2"/>
        <v/>
      </c>
      <c r="M16" s="13" t="str">
        <f t="shared" si="3"/>
        <v/>
      </c>
      <c r="N16" s="13" t="str">
        <f t="shared" si="4"/>
        <v/>
      </c>
      <c r="O16" s="13" t="str">
        <f t="shared" si="5"/>
        <v/>
      </c>
      <c r="P16" s="13">
        <f t="shared" si="6"/>
        <v>0</v>
      </c>
    </row>
    <row r="17" spans="1:16" x14ac:dyDescent="0.2">
      <c r="A17" s="12">
        <f t="shared" si="0"/>
        <v>46508</v>
      </c>
      <c r="B17" s="13" t="str">
        <f>IF(COUNTIFS('Dados Mensais (Histórico)'!$B$5:$B$521,B$5,'Dados Mensais (Histórico)'!$E$5:$E$521,$A17)=0,"",SUMIFS('Dados Mensais (Histórico)'!$J$5:$J$521,'Dados Mensais (Histórico)'!$B$5:$B$521,B$5,'Dados Mensais (Histórico)'!$E$5:$E$521,$A17))</f>
        <v/>
      </c>
      <c r="C17" s="13" t="str">
        <f>IF(COUNTIFS('Dados Mensais (Histórico)'!$B$5:$B$521,C$5,'Dados Mensais (Histórico)'!$E$5:$E$521,$A17)=0,"",SUMIFS('Dados Mensais (Histórico)'!$J$5:$J$521,'Dados Mensais (Histórico)'!$B$5:$B$521,C$5,'Dados Mensais (Histórico)'!$E$5:$E$521,$A17))</f>
        <v/>
      </c>
      <c r="D17" s="13" t="str">
        <f>IF(COUNTIFS('Dados Mensais (Histórico)'!$B$5:$B$521,D$5,'Dados Mensais (Histórico)'!$E$5:$E$521,$A17)=0,"",SUMIFS('Dados Mensais (Histórico)'!$J$5:$J$521,'Dados Mensais (Histórico)'!$B$5:$B$521,D$5,'Dados Mensais (Histórico)'!$E$5:$E$521,$A17))</f>
        <v/>
      </c>
      <c r="E17" s="13" t="str">
        <f>IF(COUNTIFS('Dados Mensais (Histórico)'!$B$5:$B$521,E$5,'Dados Mensais (Histórico)'!$E$5:$E$521,$A17)=0,"",SUMIFS('Dados Mensais (Histórico)'!$J$5:$J$521,'Dados Mensais (Histórico)'!$B$5:$B$521,E$5,'Dados Mensais (Histórico)'!$E$5:$E$521,$A17))</f>
        <v/>
      </c>
      <c r="F17" s="13" t="str">
        <f>IF(COUNTIFS('Dados Mensais (Histórico)'!$B$5:$B$521,F$5,'Dados Mensais (Histórico)'!$E$5:$E$521,$A17)=0,"",SUMIFS('Dados Mensais (Histórico)'!$J$5:$J$521,'Dados Mensais (Histórico)'!$B$5:$B$521,F$5,'Dados Mensais (Histórico)'!$E$5:$E$521,$A17))</f>
        <v/>
      </c>
      <c r="H17" s="41">
        <f>'Preco (R$ x KWh)'!B36</f>
        <v>0</v>
      </c>
      <c r="I17" s="41">
        <f t="shared" si="1"/>
        <v>0</v>
      </c>
      <c r="K17" s="13" t="str">
        <f t="shared" si="2"/>
        <v/>
      </c>
      <c r="L17" s="13" t="str">
        <f t="shared" si="2"/>
        <v/>
      </c>
      <c r="M17" s="13" t="str">
        <f t="shared" si="3"/>
        <v/>
      </c>
      <c r="N17" s="13" t="str">
        <f t="shared" si="4"/>
        <v/>
      </c>
      <c r="O17" s="13" t="str">
        <f t="shared" si="5"/>
        <v/>
      </c>
      <c r="P17" s="13">
        <f t="shared" si="6"/>
        <v>0</v>
      </c>
    </row>
    <row r="18" spans="1:16" x14ac:dyDescent="0.2">
      <c r="A18" s="12">
        <f t="shared" si="0"/>
        <v>46539</v>
      </c>
      <c r="B18" s="13" t="str">
        <f>IF(COUNTIFS('Dados Mensais (Histórico)'!$B$5:$B$521,B$5,'Dados Mensais (Histórico)'!$E$5:$E$521,$A18)=0,"",SUMIFS('Dados Mensais (Histórico)'!$J$5:$J$521,'Dados Mensais (Histórico)'!$B$5:$B$521,B$5,'Dados Mensais (Histórico)'!$E$5:$E$521,$A18))</f>
        <v/>
      </c>
      <c r="C18" s="13" t="str">
        <f>IF(COUNTIFS('Dados Mensais (Histórico)'!$B$5:$B$521,C$5,'Dados Mensais (Histórico)'!$E$5:$E$521,$A18)=0,"",SUMIFS('Dados Mensais (Histórico)'!$J$5:$J$521,'Dados Mensais (Histórico)'!$B$5:$B$521,C$5,'Dados Mensais (Histórico)'!$E$5:$E$521,$A18))</f>
        <v/>
      </c>
      <c r="D18" s="13" t="str">
        <f>IF(COUNTIFS('Dados Mensais (Histórico)'!$B$5:$B$521,D$5,'Dados Mensais (Histórico)'!$E$5:$E$521,$A18)=0,"",SUMIFS('Dados Mensais (Histórico)'!$J$5:$J$521,'Dados Mensais (Histórico)'!$B$5:$B$521,D$5,'Dados Mensais (Histórico)'!$E$5:$E$521,$A18))</f>
        <v/>
      </c>
      <c r="E18" s="13" t="str">
        <f>IF(COUNTIFS('Dados Mensais (Histórico)'!$B$5:$B$521,E$5,'Dados Mensais (Histórico)'!$E$5:$E$521,$A18)=0,"",SUMIFS('Dados Mensais (Histórico)'!$J$5:$J$521,'Dados Mensais (Histórico)'!$B$5:$B$521,E$5,'Dados Mensais (Histórico)'!$E$5:$E$521,$A18))</f>
        <v/>
      </c>
      <c r="F18" s="13" t="str">
        <f>IF(COUNTIFS('Dados Mensais (Histórico)'!$B$5:$B$521,F$5,'Dados Mensais (Histórico)'!$E$5:$E$521,$A18)=0,"",SUMIFS('Dados Mensais (Histórico)'!$J$5:$J$521,'Dados Mensais (Histórico)'!$B$5:$B$521,F$5,'Dados Mensais (Histórico)'!$E$5:$E$521,$A18))</f>
        <v/>
      </c>
      <c r="H18" s="41">
        <f>'Preco (R$ x KWh)'!B37</f>
        <v>0</v>
      </c>
      <c r="I18" s="41">
        <f t="shared" si="1"/>
        <v>0</v>
      </c>
      <c r="K18" s="13" t="str">
        <f t="shared" si="2"/>
        <v/>
      </c>
      <c r="L18" s="13" t="str">
        <f t="shared" si="2"/>
        <v/>
      </c>
      <c r="M18" s="13" t="str">
        <f t="shared" si="3"/>
        <v/>
      </c>
      <c r="N18" s="13" t="str">
        <f t="shared" si="4"/>
        <v/>
      </c>
      <c r="O18" s="13" t="str">
        <f t="shared" si="5"/>
        <v/>
      </c>
      <c r="P18" s="13">
        <f t="shared" si="6"/>
        <v>0</v>
      </c>
    </row>
    <row r="19" spans="1:16" x14ac:dyDescent="0.2">
      <c r="A19" s="12">
        <f t="shared" si="0"/>
        <v>46569</v>
      </c>
      <c r="B19" s="13" t="str">
        <f>IF(COUNTIFS('Dados Mensais (Histórico)'!$B$5:$B$521,B$5,'Dados Mensais (Histórico)'!$E$5:$E$521,$A19)=0,"",SUMIFS('Dados Mensais (Histórico)'!$J$5:$J$521,'Dados Mensais (Histórico)'!$B$5:$B$521,B$5,'Dados Mensais (Histórico)'!$E$5:$E$521,$A19))</f>
        <v/>
      </c>
      <c r="C19" s="13" t="str">
        <f>IF(COUNTIFS('Dados Mensais (Histórico)'!$B$5:$B$521,C$5,'Dados Mensais (Histórico)'!$E$5:$E$521,$A19)=0,"",SUMIFS('Dados Mensais (Histórico)'!$J$5:$J$521,'Dados Mensais (Histórico)'!$B$5:$B$521,C$5,'Dados Mensais (Histórico)'!$E$5:$E$521,$A19))</f>
        <v/>
      </c>
      <c r="D19" s="13" t="str">
        <f>IF(COUNTIFS('Dados Mensais (Histórico)'!$B$5:$B$521,D$5,'Dados Mensais (Histórico)'!$E$5:$E$521,$A19)=0,"",SUMIFS('Dados Mensais (Histórico)'!$J$5:$J$521,'Dados Mensais (Histórico)'!$B$5:$B$521,D$5,'Dados Mensais (Histórico)'!$E$5:$E$521,$A19))</f>
        <v/>
      </c>
      <c r="E19" s="13" t="str">
        <f>IF(COUNTIFS('Dados Mensais (Histórico)'!$B$5:$B$521,E$5,'Dados Mensais (Histórico)'!$E$5:$E$521,$A19)=0,"",SUMIFS('Dados Mensais (Histórico)'!$J$5:$J$521,'Dados Mensais (Histórico)'!$B$5:$B$521,E$5,'Dados Mensais (Histórico)'!$E$5:$E$521,$A19))</f>
        <v/>
      </c>
      <c r="F19" s="13" t="str">
        <f>IF(COUNTIFS('Dados Mensais (Histórico)'!$B$5:$B$521,F$5,'Dados Mensais (Histórico)'!$E$5:$E$521,$A19)=0,"",SUMIFS('Dados Mensais (Histórico)'!$J$5:$J$521,'Dados Mensais (Histórico)'!$B$5:$B$521,F$5,'Dados Mensais (Histórico)'!$E$5:$E$521,$A19))</f>
        <v/>
      </c>
      <c r="H19" s="41">
        <f>'Preco (R$ x KWh)'!B38</f>
        <v>0</v>
      </c>
      <c r="I19" s="41">
        <f t="shared" si="1"/>
        <v>0</v>
      </c>
      <c r="K19" s="13" t="str">
        <f t="shared" si="2"/>
        <v/>
      </c>
      <c r="L19" s="13" t="str">
        <f t="shared" si="2"/>
        <v/>
      </c>
      <c r="M19" s="13" t="str">
        <f t="shared" si="3"/>
        <v/>
      </c>
      <c r="N19" s="13" t="str">
        <f t="shared" si="4"/>
        <v/>
      </c>
      <c r="O19" s="13" t="str">
        <f t="shared" si="5"/>
        <v/>
      </c>
      <c r="P19" s="13">
        <f t="shared" si="6"/>
        <v>0</v>
      </c>
    </row>
    <row r="20" spans="1:16" x14ac:dyDescent="0.2">
      <c r="A20" s="12">
        <f t="shared" si="0"/>
        <v>46600</v>
      </c>
      <c r="B20" s="13" t="str">
        <f>IF(COUNTIFS('Dados Mensais (Histórico)'!$B$5:$B$521,B$5,'Dados Mensais (Histórico)'!$E$5:$E$521,$A20)=0,"",SUMIFS('Dados Mensais (Histórico)'!$J$5:$J$521,'Dados Mensais (Histórico)'!$B$5:$B$521,B$5,'Dados Mensais (Histórico)'!$E$5:$E$521,$A20))</f>
        <v/>
      </c>
      <c r="C20" s="13" t="str">
        <f>IF(COUNTIFS('Dados Mensais (Histórico)'!$B$5:$B$521,C$5,'Dados Mensais (Histórico)'!$E$5:$E$521,$A20)=0,"",SUMIFS('Dados Mensais (Histórico)'!$J$5:$J$521,'Dados Mensais (Histórico)'!$B$5:$B$521,C$5,'Dados Mensais (Histórico)'!$E$5:$E$521,$A20))</f>
        <v/>
      </c>
      <c r="D20" s="13" t="str">
        <f>IF(COUNTIFS('Dados Mensais (Histórico)'!$B$5:$B$521,D$5,'Dados Mensais (Histórico)'!$E$5:$E$521,$A20)=0,"",SUMIFS('Dados Mensais (Histórico)'!$J$5:$J$521,'Dados Mensais (Histórico)'!$B$5:$B$521,D$5,'Dados Mensais (Histórico)'!$E$5:$E$521,$A20))</f>
        <v/>
      </c>
      <c r="E20" s="13" t="str">
        <f>IF(COUNTIFS('Dados Mensais (Histórico)'!$B$5:$B$521,E$5,'Dados Mensais (Histórico)'!$E$5:$E$521,$A20)=0,"",SUMIFS('Dados Mensais (Histórico)'!$J$5:$J$521,'Dados Mensais (Histórico)'!$B$5:$B$521,E$5,'Dados Mensais (Histórico)'!$E$5:$E$521,$A20))</f>
        <v/>
      </c>
      <c r="F20" s="13" t="str">
        <f>IF(COUNTIFS('Dados Mensais (Histórico)'!$B$5:$B$521,F$5,'Dados Mensais (Histórico)'!$E$5:$E$521,$A20)=0,"",SUMIFS('Dados Mensais (Histórico)'!$J$5:$J$521,'Dados Mensais (Histórico)'!$B$5:$B$521,F$5,'Dados Mensais (Histórico)'!$E$5:$E$521,$A20))</f>
        <v/>
      </c>
      <c r="H20" s="41">
        <f>'Preco (R$ x KWh)'!B39</f>
        <v>0</v>
      </c>
      <c r="I20" s="41">
        <f t="shared" si="1"/>
        <v>0</v>
      </c>
      <c r="K20" s="13" t="str">
        <f t="shared" si="2"/>
        <v/>
      </c>
      <c r="L20" s="13" t="str">
        <f t="shared" si="2"/>
        <v/>
      </c>
      <c r="M20" s="13" t="str">
        <f t="shared" si="3"/>
        <v/>
      </c>
      <c r="N20" s="13" t="str">
        <f t="shared" si="4"/>
        <v/>
      </c>
      <c r="O20" s="13" t="str">
        <f t="shared" si="5"/>
        <v/>
      </c>
      <c r="P20" s="13">
        <f t="shared" si="6"/>
        <v>0</v>
      </c>
    </row>
    <row r="21" spans="1:16" x14ac:dyDescent="0.2">
      <c r="A21" s="12">
        <f t="shared" si="0"/>
        <v>46631</v>
      </c>
      <c r="B21" s="13" t="str">
        <f>IF(COUNTIFS('Dados Mensais (Histórico)'!$B$5:$B$521,B$5,'Dados Mensais (Histórico)'!$E$5:$E$521,$A21)=0,"",SUMIFS('Dados Mensais (Histórico)'!$J$5:$J$521,'Dados Mensais (Histórico)'!$B$5:$B$521,B$5,'Dados Mensais (Histórico)'!$E$5:$E$521,$A21))</f>
        <v/>
      </c>
      <c r="C21" s="13" t="str">
        <f>IF(COUNTIFS('Dados Mensais (Histórico)'!$B$5:$B$521,C$5,'Dados Mensais (Histórico)'!$E$5:$E$521,$A21)=0,"",SUMIFS('Dados Mensais (Histórico)'!$J$5:$J$521,'Dados Mensais (Histórico)'!$B$5:$B$521,C$5,'Dados Mensais (Histórico)'!$E$5:$E$521,$A21))</f>
        <v/>
      </c>
      <c r="D21" s="13" t="str">
        <f>IF(COUNTIFS('Dados Mensais (Histórico)'!$B$5:$B$521,D$5,'Dados Mensais (Histórico)'!$E$5:$E$521,$A21)=0,"",SUMIFS('Dados Mensais (Histórico)'!$J$5:$J$521,'Dados Mensais (Histórico)'!$B$5:$B$521,D$5,'Dados Mensais (Histórico)'!$E$5:$E$521,$A21))</f>
        <v/>
      </c>
      <c r="E21" s="13" t="str">
        <f>IF(COUNTIFS('Dados Mensais (Histórico)'!$B$5:$B$521,E$5,'Dados Mensais (Histórico)'!$E$5:$E$521,$A21)=0,"",SUMIFS('Dados Mensais (Histórico)'!$J$5:$J$521,'Dados Mensais (Histórico)'!$B$5:$B$521,E$5,'Dados Mensais (Histórico)'!$E$5:$E$521,$A21))</f>
        <v/>
      </c>
      <c r="F21" s="13" t="str">
        <f>IF(COUNTIFS('Dados Mensais (Histórico)'!$B$5:$B$521,F$5,'Dados Mensais (Histórico)'!$E$5:$E$521,$A21)=0,"",SUMIFS('Dados Mensais (Histórico)'!$J$5:$J$521,'Dados Mensais (Histórico)'!$B$5:$B$521,F$5,'Dados Mensais (Histórico)'!$E$5:$E$521,$A21))</f>
        <v/>
      </c>
      <c r="H21" s="41">
        <f>'Preco (R$ x KWh)'!B40</f>
        <v>0</v>
      </c>
      <c r="I21" s="41">
        <f t="shared" si="1"/>
        <v>0</v>
      </c>
      <c r="K21" s="13" t="str">
        <f t="shared" si="2"/>
        <v/>
      </c>
      <c r="L21" s="13" t="str">
        <f t="shared" si="2"/>
        <v/>
      </c>
      <c r="M21" s="13" t="str">
        <f t="shared" si="3"/>
        <v/>
      </c>
      <c r="N21" s="13" t="str">
        <f t="shared" si="4"/>
        <v/>
      </c>
      <c r="O21" s="13" t="str">
        <f t="shared" si="5"/>
        <v/>
      </c>
      <c r="P21" s="13">
        <f t="shared" si="6"/>
        <v>0</v>
      </c>
    </row>
    <row r="22" spans="1:16" x14ac:dyDescent="0.2">
      <c r="A22" s="12">
        <f t="shared" si="0"/>
        <v>46661</v>
      </c>
      <c r="B22" s="13" t="str">
        <f>IF(COUNTIFS('Dados Mensais (Histórico)'!$B$5:$B$521,B$5,'Dados Mensais (Histórico)'!$E$5:$E$521,$A22)=0,"",SUMIFS('Dados Mensais (Histórico)'!$J$5:$J$521,'Dados Mensais (Histórico)'!$B$5:$B$521,B$5,'Dados Mensais (Histórico)'!$E$5:$E$521,$A22))</f>
        <v/>
      </c>
      <c r="C22" s="13" t="str">
        <f>IF(COUNTIFS('Dados Mensais (Histórico)'!$B$5:$B$521,C$5,'Dados Mensais (Histórico)'!$E$5:$E$521,$A22)=0,"",SUMIFS('Dados Mensais (Histórico)'!$J$5:$J$521,'Dados Mensais (Histórico)'!$B$5:$B$521,C$5,'Dados Mensais (Histórico)'!$E$5:$E$521,$A22))</f>
        <v/>
      </c>
      <c r="D22" s="13" t="str">
        <f>IF(COUNTIFS('Dados Mensais (Histórico)'!$B$5:$B$521,D$5,'Dados Mensais (Histórico)'!$E$5:$E$521,$A22)=0,"",SUMIFS('Dados Mensais (Histórico)'!$J$5:$J$521,'Dados Mensais (Histórico)'!$B$5:$B$521,D$5,'Dados Mensais (Histórico)'!$E$5:$E$521,$A22))</f>
        <v/>
      </c>
      <c r="E22" s="13" t="str">
        <f>IF(COUNTIFS('Dados Mensais (Histórico)'!$B$5:$B$521,E$5,'Dados Mensais (Histórico)'!$E$5:$E$521,$A22)=0,"",SUMIFS('Dados Mensais (Histórico)'!$J$5:$J$521,'Dados Mensais (Histórico)'!$B$5:$B$521,E$5,'Dados Mensais (Histórico)'!$E$5:$E$521,$A22))</f>
        <v/>
      </c>
      <c r="F22" s="13" t="str">
        <f>IF(COUNTIFS('Dados Mensais (Histórico)'!$B$5:$B$521,F$5,'Dados Mensais (Histórico)'!$E$5:$E$521,$A22)=0,"",SUMIFS('Dados Mensais (Histórico)'!$J$5:$J$521,'Dados Mensais (Histórico)'!$B$5:$B$521,F$5,'Dados Mensais (Histórico)'!$E$5:$E$521,$A22))</f>
        <v/>
      </c>
      <c r="H22" s="41">
        <f>'Preco (R$ x KWh)'!B41</f>
        <v>0</v>
      </c>
      <c r="I22" s="41">
        <f t="shared" si="1"/>
        <v>0</v>
      </c>
      <c r="K22" s="13" t="str">
        <f t="shared" si="2"/>
        <v/>
      </c>
      <c r="L22" s="13" t="str">
        <f t="shared" si="2"/>
        <v/>
      </c>
      <c r="M22" s="13" t="str">
        <f t="shared" si="3"/>
        <v/>
      </c>
      <c r="N22" s="13" t="str">
        <f t="shared" si="4"/>
        <v/>
      </c>
      <c r="O22" s="13" t="str">
        <f t="shared" si="5"/>
        <v/>
      </c>
      <c r="P22" s="13">
        <f t="shared" si="6"/>
        <v>0</v>
      </c>
    </row>
    <row r="23" spans="1:16" x14ac:dyDescent="0.2">
      <c r="A23" s="12">
        <f t="shared" si="0"/>
        <v>46692</v>
      </c>
      <c r="B23" s="13" t="str">
        <f>IF(COUNTIFS('Dados Mensais (Histórico)'!$B$5:$B$521,B$5,'Dados Mensais (Histórico)'!$E$5:$E$521,$A23)=0,"",SUMIFS('Dados Mensais (Histórico)'!$J$5:$J$521,'Dados Mensais (Histórico)'!$B$5:$B$521,B$5,'Dados Mensais (Histórico)'!$E$5:$E$521,$A23))</f>
        <v/>
      </c>
      <c r="C23" s="13" t="str">
        <f>IF(COUNTIFS('Dados Mensais (Histórico)'!$B$5:$B$521,C$5,'Dados Mensais (Histórico)'!$E$5:$E$521,$A23)=0,"",SUMIFS('Dados Mensais (Histórico)'!$J$5:$J$521,'Dados Mensais (Histórico)'!$B$5:$B$521,C$5,'Dados Mensais (Histórico)'!$E$5:$E$521,$A23))</f>
        <v/>
      </c>
      <c r="D23" s="13" t="str">
        <f>IF(COUNTIFS('Dados Mensais (Histórico)'!$B$5:$B$521,D$5,'Dados Mensais (Histórico)'!$E$5:$E$521,$A23)=0,"",SUMIFS('Dados Mensais (Histórico)'!$J$5:$J$521,'Dados Mensais (Histórico)'!$B$5:$B$521,D$5,'Dados Mensais (Histórico)'!$E$5:$E$521,$A23))</f>
        <v/>
      </c>
      <c r="E23" s="13" t="str">
        <f>IF(COUNTIFS('Dados Mensais (Histórico)'!$B$5:$B$521,E$5,'Dados Mensais (Histórico)'!$E$5:$E$521,$A23)=0,"",SUMIFS('Dados Mensais (Histórico)'!$J$5:$J$521,'Dados Mensais (Histórico)'!$B$5:$B$521,E$5,'Dados Mensais (Histórico)'!$E$5:$E$521,$A23))</f>
        <v/>
      </c>
      <c r="F23" s="13" t="str">
        <f>IF(COUNTIFS('Dados Mensais (Histórico)'!$B$5:$B$521,F$5,'Dados Mensais (Histórico)'!$E$5:$E$521,$A23)=0,"",SUMIFS('Dados Mensais (Histórico)'!$J$5:$J$521,'Dados Mensais (Histórico)'!$B$5:$B$521,F$5,'Dados Mensais (Histórico)'!$E$5:$E$521,$A23))</f>
        <v/>
      </c>
      <c r="H23" s="41">
        <f>'Preco (R$ x KWh)'!B42</f>
        <v>0</v>
      </c>
      <c r="I23" s="41">
        <f t="shared" si="1"/>
        <v>0</v>
      </c>
      <c r="K23" s="13" t="str">
        <f t="shared" si="2"/>
        <v/>
      </c>
      <c r="L23" s="13" t="str">
        <f t="shared" si="2"/>
        <v/>
      </c>
      <c r="M23" s="13" t="str">
        <f t="shared" si="3"/>
        <v/>
      </c>
      <c r="N23" s="13" t="str">
        <f t="shared" si="4"/>
        <v/>
      </c>
      <c r="O23" s="13" t="str">
        <f t="shared" si="5"/>
        <v/>
      </c>
      <c r="P23" s="13">
        <f t="shared" si="6"/>
        <v>0</v>
      </c>
    </row>
    <row r="24" spans="1:16" x14ac:dyDescent="0.2">
      <c r="A24" s="12">
        <f t="shared" si="0"/>
        <v>46722</v>
      </c>
      <c r="B24" s="13" t="str">
        <f>IF(COUNTIFS('Dados Mensais (Histórico)'!$B$5:$B$521,B$5,'Dados Mensais (Histórico)'!$E$5:$E$521,$A24)=0,"",SUMIFS('Dados Mensais (Histórico)'!$J$5:$J$521,'Dados Mensais (Histórico)'!$B$5:$B$521,B$5,'Dados Mensais (Histórico)'!$E$5:$E$521,$A24))</f>
        <v/>
      </c>
      <c r="C24" s="13" t="str">
        <f>IF(COUNTIFS('Dados Mensais (Histórico)'!$B$5:$B$521,C$5,'Dados Mensais (Histórico)'!$E$5:$E$521,$A24)=0,"",SUMIFS('Dados Mensais (Histórico)'!$J$5:$J$521,'Dados Mensais (Histórico)'!$B$5:$B$521,C$5,'Dados Mensais (Histórico)'!$E$5:$E$521,$A24))</f>
        <v/>
      </c>
      <c r="D24" s="13" t="str">
        <f>IF(COUNTIFS('Dados Mensais (Histórico)'!$B$5:$B$521,D$5,'Dados Mensais (Histórico)'!$E$5:$E$521,$A24)=0,"",SUMIFS('Dados Mensais (Histórico)'!$J$5:$J$521,'Dados Mensais (Histórico)'!$B$5:$B$521,D$5,'Dados Mensais (Histórico)'!$E$5:$E$521,$A24))</f>
        <v/>
      </c>
      <c r="E24" s="13" t="str">
        <f>IF(COUNTIFS('Dados Mensais (Histórico)'!$B$5:$B$521,E$5,'Dados Mensais (Histórico)'!$E$5:$E$521,$A24)=0,"",SUMIFS('Dados Mensais (Histórico)'!$J$5:$J$521,'Dados Mensais (Histórico)'!$B$5:$B$521,E$5,'Dados Mensais (Histórico)'!$E$5:$E$521,$A24))</f>
        <v/>
      </c>
      <c r="F24" s="13" t="str">
        <f>IF(COUNTIFS('Dados Mensais (Histórico)'!$B$5:$B$521,F$5,'Dados Mensais (Histórico)'!$E$5:$E$521,$A24)=0,"",SUMIFS('Dados Mensais (Histórico)'!$J$5:$J$521,'Dados Mensais (Histórico)'!$B$5:$B$521,F$5,'Dados Mensais (Histórico)'!$E$5:$E$521,$A24))</f>
        <v/>
      </c>
      <c r="H24" s="41">
        <f>'Preco (R$ x KWh)'!B43</f>
        <v>0</v>
      </c>
      <c r="I24" s="41">
        <f t="shared" si="1"/>
        <v>0</v>
      </c>
      <c r="K24" s="13" t="str">
        <f t="shared" si="2"/>
        <v/>
      </c>
      <c r="L24" s="13" t="str">
        <f t="shared" si="2"/>
        <v/>
      </c>
      <c r="M24" s="13" t="str">
        <f t="shared" si="3"/>
        <v/>
      </c>
      <c r="N24" s="13" t="str">
        <f t="shared" si="4"/>
        <v/>
      </c>
      <c r="O24" s="13" t="str">
        <f t="shared" si="5"/>
        <v/>
      </c>
      <c r="P24" s="13">
        <f t="shared" si="6"/>
        <v>0</v>
      </c>
    </row>
    <row r="25" spans="1:16" x14ac:dyDescent="0.2">
      <c r="A25" s="12">
        <f t="shared" si="0"/>
        <v>46753</v>
      </c>
      <c r="B25" s="13" t="str">
        <f>IF(COUNTIFS('Dados Mensais (Histórico)'!$B$5:$B$521,B$5,'Dados Mensais (Histórico)'!$E$5:$E$521,$A25)=0,"",SUMIFS('Dados Mensais (Histórico)'!$J$5:$J$521,'Dados Mensais (Histórico)'!$B$5:$B$521,B$5,'Dados Mensais (Histórico)'!$E$5:$E$521,$A25))</f>
        <v/>
      </c>
      <c r="C25" s="13" t="str">
        <f>IF(COUNTIFS('Dados Mensais (Histórico)'!$B$5:$B$521,C$5,'Dados Mensais (Histórico)'!$E$5:$E$521,$A25)=0,"",SUMIFS('Dados Mensais (Histórico)'!$J$5:$J$521,'Dados Mensais (Histórico)'!$B$5:$B$521,C$5,'Dados Mensais (Histórico)'!$E$5:$E$521,$A25))</f>
        <v/>
      </c>
      <c r="D25" s="13" t="str">
        <f>IF(COUNTIFS('Dados Mensais (Histórico)'!$B$5:$B$521,D$5,'Dados Mensais (Histórico)'!$E$5:$E$521,$A25)=0,"",SUMIFS('Dados Mensais (Histórico)'!$J$5:$J$521,'Dados Mensais (Histórico)'!$B$5:$B$521,D$5,'Dados Mensais (Histórico)'!$E$5:$E$521,$A25))</f>
        <v/>
      </c>
      <c r="E25" s="13" t="str">
        <f>IF(COUNTIFS('Dados Mensais (Histórico)'!$B$5:$B$521,E$5,'Dados Mensais (Histórico)'!$E$5:$E$521,$A25)=0,"",SUMIFS('Dados Mensais (Histórico)'!$J$5:$J$521,'Dados Mensais (Histórico)'!$B$5:$B$521,E$5,'Dados Mensais (Histórico)'!$E$5:$E$521,$A25))</f>
        <v/>
      </c>
      <c r="F25" s="13" t="str">
        <f>IF(COUNTIFS('Dados Mensais (Histórico)'!$B$5:$B$521,F$5,'Dados Mensais (Histórico)'!$E$5:$E$521,$A25)=0,"",SUMIFS('Dados Mensais (Histórico)'!$J$5:$J$521,'Dados Mensais (Histórico)'!$B$5:$B$521,F$5,'Dados Mensais (Histórico)'!$E$5:$E$521,$A25))</f>
        <v/>
      </c>
      <c r="H25" s="41">
        <f>'Preco (R$ x KWh)'!B44</f>
        <v>0</v>
      </c>
      <c r="I25" s="41">
        <f t="shared" si="1"/>
        <v>0</v>
      </c>
      <c r="K25" s="13" t="str">
        <f t="shared" si="2"/>
        <v/>
      </c>
      <c r="L25" s="13" t="str">
        <f t="shared" si="2"/>
        <v/>
      </c>
      <c r="M25" s="13" t="str">
        <f t="shared" si="3"/>
        <v/>
      </c>
      <c r="N25" s="13" t="str">
        <f t="shared" si="4"/>
        <v/>
      </c>
      <c r="O25" s="13" t="str">
        <f t="shared" si="5"/>
        <v/>
      </c>
      <c r="P25" s="13">
        <f t="shared" si="6"/>
        <v>0</v>
      </c>
    </row>
    <row r="26" spans="1:16" x14ac:dyDescent="0.2">
      <c r="A26" s="12">
        <f t="shared" si="0"/>
        <v>46784</v>
      </c>
      <c r="B26" s="13" t="str">
        <f>IF(COUNTIFS('Dados Mensais (Histórico)'!$B$5:$B$521,B$5,'Dados Mensais (Histórico)'!$E$5:$E$521,$A26)=0,"",SUMIFS('Dados Mensais (Histórico)'!$J$5:$J$521,'Dados Mensais (Histórico)'!$B$5:$B$521,B$5,'Dados Mensais (Histórico)'!$E$5:$E$521,$A26))</f>
        <v/>
      </c>
      <c r="C26" s="13" t="str">
        <f>IF(COUNTIFS('Dados Mensais (Histórico)'!$B$5:$B$521,C$5,'Dados Mensais (Histórico)'!$E$5:$E$521,$A26)=0,"",SUMIFS('Dados Mensais (Histórico)'!$J$5:$J$521,'Dados Mensais (Histórico)'!$B$5:$B$521,C$5,'Dados Mensais (Histórico)'!$E$5:$E$521,$A26))</f>
        <v/>
      </c>
      <c r="D26" s="13" t="str">
        <f>IF(COUNTIFS('Dados Mensais (Histórico)'!$B$5:$B$521,D$5,'Dados Mensais (Histórico)'!$E$5:$E$521,$A26)=0,"",SUMIFS('Dados Mensais (Histórico)'!$J$5:$J$521,'Dados Mensais (Histórico)'!$B$5:$B$521,D$5,'Dados Mensais (Histórico)'!$E$5:$E$521,$A26))</f>
        <v/>
      </c>
      <c r="E26" s="13" t="str">
        <f>IF(COUNTIFS('Dados Mensais (Histórico)'!$B$5:$B$521,E$5,'Dados Mensais (Histórico)'!$E$5:$E$521,$A26)=0,"",SUMIFS('Dados Mensais (Histórico)'!$J$5:$J$521,'Dados Mensais (Histórico)'!$B$5:$B$521,E$5,'Dados Mensais (Histórico)'!$E$5:$E$521,$A26))</f>
        <v/>
      </c>
      <c r="F26" s="13" t="str">
        <f>IF(COUNTIFS('Dados Mensais (Histórico)'!$B$5:$B$521,F$5,'Dados Mensais (Histórico)'!$E$5:$E$521,$A26)=0,"",SUMIFS('Dados Mensais (Histórico)'!$J$5:$J$521,'Dados Mensais (Histórico)'!$B$5:$B$521,F$5,'Dados Mensais (Histórico)'!$E$5:$E$521,$A26))</f>
        <v/>
      </c>
      <c r="H26" s="41">
        <f>'Preco (R$ x KWh)'!B45</f>
        <v>0</v>
      </c>
      <c r="I26" s="41">
        <f t="shared" si="1"/>
        <v>0</v>
      </c>
      <c r="K26" s="13" t="str">
        <f t="shared" si="2"/>
        <v/>
      </c>
      <c r="L26" s="13" t="str">
        <f t="shared" si="2"/>
        <v/>
      </c>
      <c r="M26" s="13" t="str">
        <f t="shared" si="3"/>
        <v/>
      </c>
      <c r="N26" s="13" t="str">
        <f t="shared" si="4"/>
        <v/>
      </c>
      <c r="O26" s="13" t="str">
        <f t="shared" si="5"/>
        <v/>
      </c>
      <c r="P26" s="13">
        <f t="shared" si="6"/>
        <v>0</v>
      </c>
    </row>
    <row r="27" spans="1:16" x14ac:dyDescent="0.2">
      <c r="A27" s="12">
        <f t="shared" si="0"/>
        <v>46813</v>
      </c>
      <c r="B27" s="13" t="str">
        <f>IF(COUNTIFS('Dados Mensais (Histórico)'!$B$5:$B$521,B$5,'Dados Mensais (Histórico)'!$E$5:$E$521,$A27)=0,"",SUMIFS('Dados Mensais (Histórico)'!$J$5:$J$521,'Dados Mensais (Histórico)'!$B$5:$B$521,B$5,'Dados Mensais (Histórico)'!$E$5:$E$521,$A27))</f>
        <v/>
      </c>
      <c r="C27" s="13" t="str">
        <f>IF(COUNTIFS('Dados Mensais (Histórico)'!$B$5:$B$521,C$5,'Dados Mensais (Histórico)'!$E$5:$E$521,$A27)=0,"",SUMIFS('Dados Mensais (Histórico)'!$J$5:$J$521,'Dados Mensais (Histórico)'!$B$5:$B$521,C$5,'Dados Mensais (Histórico)'!$E$5:$E$521,$A27))</f>
        <v/>
      </c>
      <c r="D27" s="13" t="str">
        <f>IF(COUNTIFS('Dados Mensais (Histórico)'!$B$5:$B$521,D$5,'Dados Mensais (Histórico)'!$E$5:$E$521,$A27)=0,"",SUMIFS('Dados Mensais (Histórico)'!$J$5:$J$521,'Dados Mensais (Histórico)'!$B$5:$B$521,D$5,'Dados Mensais (Histórico)'!$E$5:$E$521,$A27))</f>
        <v/>
      </c>
      <c r="E27" s="13" t="str">
        <f>IF(COUNTIFS('Dados Mensais (Histórico)'!$B$5:$B$521,E$5,'Dados Mensais (Histórico)'!$E$5:$E$521,$A27)=0,"",SUMIFS('Dados Mensais (Histórico)'!$J$5:$J$521,'Dados Mensais (Histórico)'!$B$5:$B$521,E$5,'Dados Mensais (Histórico)'!$E$5:$E$521,$A27))</f>
        <v/>
      </c>
      <c r="F27" s="13" t="str">
        <f>IF(COUNTIFS('Dados Mensais (Histórico)'!$B$5:$B$521,F$5,'Dados Mensais (Histórico)'!$E$5:$E$521,$A27)=0,"",SUMIFS('Dados Mensais (Histórico)'!$J$5:$J$521,'Dados Mensais (Histórico)'!$B$5:$B$521,F$5,'Dados Mensais (Histórico)'!$E$5:$E$521,$A27))</f>
        <v/>
      </c>
      <c r="H27" s="41">
        <f>'Preco (R$ x KWh)'!B46</f>
        <v>0</v>
      </c>
      <c r="I27" s="41">
        <f t="shared" si="1"/>
        <v>0</v>
      </c>
      <c r="K27" s="13" t="str">
        <f t="shared" si="2"/>
        <v/>
      </c>
      <c r="L27" s="13" t="str">
        <f t="shared" si="2"/>
        <v/>
      </c>
      <c r="M27" s="13" t="str">
        <f t="shared" si="3"/>
        <v/>
      </c>
      <c r="N27" s="13" t="str">
        <f t="shared" si="4"/>
        <v/>
      </c>
      <c r="O27" s="13" t="str">
        <f t="shared" si="5"/>
        <v/>
      </c>
      <c r="P27" s="13">
        <f t="shared" si="6"/>
        <v>0</v>
      </c>
    </row>
    <row r="28" spans="1:16" x14ac:dyDescent="0.2">
      <c r="A28" s="12">
        <f t="shared" si="0"/>
        <v>46844</v>
      </c>
      <c r="B28" s="13" t="str">
        <f>IF(COUNTIFS('Dados Mensais (Histórico)'!$B$5:$B$521,B$5,'Dados Mensais (Histórico)'!$E$5:$E$521,$A28)=0,"",SUMIFS('Dados Mensais (Histórico)'!$J$5:$J$521,'Dados Mensais (Histórico)'!$B$5:$B$521,B$5,'Dados Mensais (Histórico)'!$E$5:$E$521,$A28))</f>
        <v/>
      </c>
      <c r="C28" s="13" t="str">
        <f>IF(COUNTIFS('Dados Mensais (Histórico)'!$B$5:$B$521,C$5,'Dados Mensais (Histórico)'!$E$5:$E$521,$A28)=0,"",SUMIFS('Dados Mensais (Histórico)'!$J$5:$J$521,'Dados Mensais (Histórico)'!$B$5:$B$521,C$5,'Dados Mensais (Histórico)'!$E$5:$E$521,$A28))</f>
        <v/>
      </c>
      <c r="D28" s="13" t="str">
        <f>IF(COUNTIFS('Dados Mensais (Histórico)'!$B$5:$B$521,D$5,'Dados Mensais (Histórico)'!$E$5:$E$521,$A28)=0,"",SUMIFS('Dados Mensais (Histórico)'!$J$5:$J$521,'Dados Mensais (Histórico)'!$B$5:$B$521,D$5,'Dados Mensais (Histórico)'!$E$5:$E$521,$A28))</f>
        <v/>
      </c>
      <c r="E28" s="13" t="str">
        <f>IF(COUNTIFS('Dados Mensais (Histórico)'!$B$5:$B$521,E$5,'Dados Mensais (Histórico)'!$E$5:$E$521,$A28)=0,"",SUMIFS('Dados Mensais (Histórico)'!$J$5:$J$521,'Dados Mensais (Histórico)'!$B$5:$B$521,E$5,'Dados Mensais (Histórico)'!$E$5:$E$521,$A28))</f>
        <v/>
      </c>
      <c r="F28" s="13" t="str">
        <f>IF(COUNTIFS('Dados Mensais (Histórico)'!$B$5:$B$521,F$5,'Dados Mensais (Histórico)'!$E$5:$E$521,$A28)=0,"",SUMIFS('Dados Mensais (Histórico)'!$J$5:$J$521,'Dados Mensais (Histórico)'!$B$5:$B$521,F$5,'Dados Mensais (Histórico)'!$E$5:$E$521,$A28))</f>
        <v/>
      </c>
      <c r="H28" s="41">
        <f>'Preco (R$ x KWh)'!B47</f>
        <v>0</v>
      </c>
      <c r="I28" s="41">
        <f t="shared" si="1"/>
        <v>0</v>
      </c>
      <c r="K28" s="13" t="str">
        <f t="shared" si="2"/>
        <v/>
      </c>
      <c r="L28" s="13" t="str">
        <f t="shared" si="2"/>
        <v/>
      </c>
      <c r="M28" s="13" t="str">
        <f t="shared" si="3"/>
        <v/>
      </c>
      <c r="N28" s="13" t="str">
        <f t="shared" si="4"/>
        <v/>
      </c>
      <c r="O28" s="13" t="str">
        <f t="shared" si="5"/>
        <v/>
      </c>
      <c r="P28" s="13">
        <f t="shared" si="6"/>
        <v>0</v>
      </c>
    </row>
    <row r="29" spans="1:16" x14ac:dyDescent="0.2">
      <c r="A29" s="12">
        <f t="shared" si="0"/>
        <v>46874</v>
      </c>
      <c r="B29" s="13" t="str">
        <f>IF(COUNTIFS('Dados Mensais (Histórico)'!$B$5:$B$521,B$5,'Dados Mensais (Histórico)'!$E$5:$E$521,$A29)=0,"",SUMIFS('Dados Mensais (Histórico)'!$J$5:$J$521,'Dados Mensais (Histórico)'!$B$5:$B$521,B$5,'Dados Mensais (Histórico)'!$E$5:$E$521,$A29))</f>
        <v/>
      </c>
      <c r="C29" s="13" t="str">
        <f>IF(COUNTIFS('Dados Mensais (Histórico)'!$B$5:$B$521,C$5,'Dados Mensais (Histórico)'!$E$5:$E$521,$A29)=0,"",SUMIFS('Dados Mensais (Histórico)'!$J$5:$J$521,'Dados Mensais (Histórico)'!$B$5:$B$521,C$5,'Dados Mensais (Histórico)'!$E$5:$E$521,$A29))</f>
        <v/>
      </c>
      <c r="D29" s="13" t="str">
        <f>IF(COUNTIFS('Dados Mensais (Histórico)'!$B$5:$B$521,D$5,'Dados Mensais (Histórico)'!$E$5:$E$521,$A29)=0,"",SUMIFS('Dados Mensais (Histórico)'!$J$5:$J$521,'Dados Mensais (Histórico)'!$B$5:$B$521,D$5,'Dados Mensais (Histórico)'!$E$5:$E$521,$A29))</f>
        <v/>
      </c>
      <c r="E29" s="13" t="str">
        <f>IF(COUNTIFS('Dados Mensais (Histórico)'!$B$5:$B$521,E$5,'Dados Mensais (Histórico)'!$E$5:$E$521,$A29)=0,"",SUMIFS('Dados Mensais (Histórico)'!$J$5:$J$521,'Dados Mensais (Histórico)'!$B$5:$B$521,E$5,'Dados Mensais (Histórico)'!$E$5:$E$521,$A29))</f>
        <v/>
      </c>
      <c r="F29" s="13" t="str">
        <f>IF(COUNTIFS('Dados Mensais (Histórico)'!$B$5:$B$521,F$5,'Dados Mensais (Histórico)'!$E$5:$E$521,$A29)=0,"",SUMIFS('Dados Mensais (Histórico)'!$J$5:$J$521,'Dados Mensais (Histórico)'!$B$5:$B$521,F$5,'Dados Mensais (Histórico)'!$E$5:$E$521,$A29))</f>
        <v/>
      </c>
      <c r="H29" s="41">
        <f>'Preco (R$ x KWh)'!B48</f>
        <v>0</v>
      </c>
      <c r="I29" s="41">
        <f t="shared" si="1"/>
        <v>0</v>
      </c>
      <c r="K29" s="13" t="str">
        <f t="shared" si="2"/>
        <v/>
      </c>
      <c r="L29" s="13" t="str">
        <f t="shared" si="2"/>
        <v/>
      </c>
      <c r="M29" s="13" t="str">
        <f t="shared" si="3"/>
        <v/>
      </c>
      <c r="N29" s="13" t="str">
        <f t="shared" si="4"/>
        <v/>
      </c>
      <c r="O29" s="13" t="str">
        <f t="shared" si="5"/>
        <v/>
      </c>
      <c r="P29" s="13">
        <f t="shared" si="6"/>
        <v>0</v>
      </c>
    </row>
    <row r="30" spans="1:16" x14ac:dyDescent="0.2">
      <c r="A30" s="12">
        <f t="shared" si="0"/>
        <v>46905</v>
      </c>
      <c r="B30" s="13" t="str">
        <f>IF(COUNTIFS('Dados Mensais (Histórico)'!$B$5:$B$521,B$5,'Dados Mensais (Histórico)'!$E$5:$E$521,$A30)=0,"",SUMIFS('Dados Mensais (Histórico)'!$J$5:$J$521,'Dados Mensais (Histórico)'!$B$5:$B$521,B$5,'Dados Mensais (Histórico)'!$E$5:$E$521,$A30))</f>
        <v/>
      </c>
      <c r="C30" s="13" t="str">
        <f>IF(COUNTIFS('Dados Mensais (Histórico)'!$B$5:$B$521,C$5,'Dados Mensais (Histórico)'!$E$5:$E$521,$A30)=0,"",SUMIFS('Dados Mensais (Histórico)'!$J$5:$J$521,'Dados Mensais (Histórico)'!$B$5:$B$521,C$5,'Dados Mensais (Histórico)'!$E$5:$E$521,$A30))</f>
        <v/>
      </c>
      <c r="D30" s="13" t="str">
        <f>IF(COUNTIFS('Dados Mensais (Histórico)'!$B$5:$B$521,D$5,'Dados Mensais (Histórico)'!$E$5:$E$521,$A30)=0,"",SUMIFS('Dados Mensais (Histórico)'!$J$5:$J$521,'Dados Mensais (Histórico)'!$B$5:$B$521,D$5,'Dados Mensais (Histórico)'!$E$5:$E$521,$A30))</f>
        <v/>
      </c>
      <c r="E30" s="13" t="str">
        <f>IF(COUNTIFS('Dados Mensais (Histórico)'!$B$5:$B$521,E$5,'Dados Mensais (Histórico)'!$E$5:$E$521,$A30)=0,"",SUMIFS('Dados Mensais (Histórico)'!$J$5:$J$521,'Dados Mensais (Histórico)'!$B$5:$B$521,E$5,'Dados Mensais (Histórico)'!$E$5:$E$521,$A30))</f>
        <v/>
      </c>
      <c r="F30" s="13" t="str">
        <f>IF(COUNTIFS('Dados Mensais (Histórico)'!$B$5:$B$521,F$5,'Dados Mensais (Histórico)'!$E$5:$E$521,$A30)=0,"",SUMIFS('Dados Mensais (Histórico)'!$J$5:$J$521,'Dados Mensais (Histórico)'!$B$5:$B$521,F$5,'Dados Mensais (Histórico)'!$E$5:$E$521,$A30))</f>
        <v/>
      </c>
      <c r="H30" s="41">
        <f>'Preco (R$ x KWh)'!B49</f>
        <v>0</v>
      </c>
      <c r="I30" s="41">
        <f t="shared" si="1"/>
        <v>0</v>
      </c>
      <c r="K30" s="13" t="str">
        <f t="shared" si="2"/>
        <v/>
      </c>
      <c r="L30" s="13" t="str">
        <f t="shared" si="2"/>
        <v/>
      </c>
      <c r="M30" s="13" t="str">
        <f t="shared" si="3"/>
        <v/>
      </c>
      <c r="N30" s="13" t="str">
        <f t="shared" si="4"/>
        <v/>
      </c>
      <c r="O30" s="13" t="str">
        <f t="shared" si="5"/>
        <v/>
      </c>
      <c r="P30" s="13">
        <f t="shared" si="6"/>
        <v>0</v>
      </c>
    </row>
    <row r="31" spans="1:16" x14ac:dyDescent="0.2">
      <c r="A31" s="12">
        <f t="shared" si="0"/>
        <v>46935</v>
      </c>
      <c r="B31" s="13" t="str">
        <f>IF(COUNTIFS('Dados Mensais (Histórico)'!$B$5:$B$521,B$5,'Dados Mensais (Histórico)'!$E$5:$E$521,$A31)=0,"",SUMIFS('Dados Mensais (Histórico)'!$J$5:$J$521,'Dados Mensais (Histórico)'!$B$5:$B$521,B$5,'Dados Mensais (Histórico)'!$E$5:$E$521,$A31))</f>
        <v/>
      </c>
      <c r="C31" s="13" t="str">
        <f>IF(COUNTIFS('Dados Mensais (Histórico)'!$B$5:$B$521,C$5,'Dados Mensais (Histórico)'!$E$5:$E$521,$A31)=0,"",SUMIFS('Dados Mensais (Histórico)'!$J$5:$J$521,'Dados Mensais (Histórico)'!$B$5:$B$521,C$5,'Dados Mensais (Histórico)'!$E$5:$E$521,$A31))</f>
        <v/>
      </c>
      <c r="D31" s="13" t="str">
        <f>IF(COUNTIFS('Dados Mensais (Histórico)'!$B$5:$B$521,D$5,'Dados Mensais (Histórico)'!$E$5:$E$521,$A31)=0,"",SUMIFS('Dados Mensais (Histórico)'!$J$5:$J$521,'Dados Mensais (Histórico)'!$B$5:$B$521,D$5,'Dados Mensais (Histórico)'!$E$5:$E$521,$A31))</f>
        <v/>
      </c>
      <c r="E31" s="13" t="str">
        <f>IF(COUNTIFS('Dados Mensais (Histórico)'!$B$5:$B$521,E$5,'Dados Mensais (Histórico)'!$E$5:$E$521,$A31)=0,"",SUMIFS('Dados Mensais (Histórico)'!$J$5:$J$521,'Dados Mensais (Histórico)'!$B$5:$B$521,E$5,'Dados Mensais (Histórico)'!$E$5:$E$521,$A31))</f>
        <v/>
      </c>
      <c r="F31" s="13" t="str">
        <f>IF(COUNTIFS('Dados Mensais (Histórico)'!$B$5:$B$521,F$5,'Dados Mensais (Histórico)'!$E$5:$E$521,$A31)=0,"",SUMIFS('Dados Mensais (Histórico)'!$J$5:$J$521,'Dados Mensais (Histórico)'!$B$5:$B$521,F$5,'Dados Mensais (Histórico)'!$E$5:$E$521,$A31))</f>
        <v/>
      </c>
      <c r="H31" s="41">
        <f>'Preco (R$ x KWh)'!B50</f>
        <v>0</v>
      </c>
      <c r="I31" s="41">
        <f t="shared" si="1"/>
        <v>0</v>
      </c>
      <c r="K31" s="13" t="str">
        <f t="shared" si="2"/>
        <v/>
      </c>
      <c r="L31" s="13" t="str">
        <f t="shared" si="2"/>
        <v/>
      </c>
      <c r="M31" s="13" t="str">
        <f t="shared" si="3"/>
        <v/>
      </c>
      <c r="N31" s="13" t="str">
        <f t="shared" si="4"/>
        <v/>
      </c>
      <c r="O31" s="13" t="str">
        <f t="shared" si="5"/>
        <v/>
      </c>
      <c r="P31" s="13">
        <f t="shared" si="6"/>
        <v>0</v>
      </c>
    </row>
    <row r="32" spans="1:16" x14ac:dyDescent="0.2">
      <c r="A32" s="12">
        <f t="shared" si="0"/>
        <v>46966</v>
      </c>
      <c r="B32" s="13" t="str">
        <f>IF(COUNTIFS('Dados Mensais (Histórico)'!$B$5:$B$521,B$5,'Dados Mensais (Histórico)'!$E$5:$E$521,$A32)=0,"",SUMIFS('Dados Mensais (Histórico)'!$J$5:$J$521,'Dados Mensais (Histórico)'!$B$5:$B$521,B$5,'Dados Mensais (Histórico)'!$E$5:$E$521,$A32))</f>
        <v/>
      </c>
      <c r="C32" s="13" t="str">
        <f>IF(COUNTIFS('Dados Mensais (Histórico)'!$B$5:$B$521,C$5,'Dados Mensais (Histórico)'!$E$5:$E$521,$A32)=0,"",SUMIFS('Dados Mensais (Histórico)'!$J$5:$J$521,'Dados Mensais (Histórico)'!$B$5:$B$521,C$5,'Dados Mensais (Histórico)'!$E$5:$E$521,$A32))</f>
        <v/>
      </c>
      <c r="D32" s="13" t="str">
        <f>IF(COUNTIFS('Dados Mensais (Histórico)'!$B$5:$B$521,D$5,'Dados Mensais (Histórico)'!$E$5:$E$521,$A32)=0,"",SUMIFS('Dados Mensais (Histórico)'!$J$5:$J$521,'Dados Mensais (Histórico)'!$B$5:$B$521,D$5,'Dados Mensais (Histórico)'!$E$5:$E$521,$A32))</f>
        <v/>
      </c>
      <c r="E32" s="13" t="str">
        <f>IF(COUNTIFS('Dados Mensais (Histórico)'!$B$5:$B$521,E$5,'Dados Mensais (Histórico)'!$E$5:$E$521,$A32)=0,"",SUMIFS('Dados Mensais (Histórico)'!$J$5:$J$521,'Dados Mensais (Histórico)'!$B$5:$B$521,E$5,'Dados Mensais (Histórico)'!$E$5:$E$521,$A32))</f>
        <v/>
      </c>
      <c r="F32" s="13" t="str">
        <f>IF(COUNTIFS('Dados Mensais (Histórico)'!$B$5:$B$521,F$5,'Dados Mensais (Histórico)'!$E$5:$E$521,$A32)=0,"",SUMIFS('Dados Mensais (Histórico)'!$J$5:$J$521,'Dados Mensais (Histórico)'!$B$5:$B$521,F$5,'Dados Mensais (Histórico)'!$E$5:$E$521,$A32))</f>
        <v/>
      </c>
      <c r="H32" s="41">
        <f>'Preco (R$ x KWh)'!B51</f>
        <v>0</v>
      </c>
      <c r="I32" s="41">
        <f t="shared" si="1"/>
        <v>0</v>
      </c>
      <c r="K32" s="13" t="str">
        <f t="shared" si="2"/>
        <v/>
      </c>
      <c r="L32" s="13" t="str">
        <f t="shared" si="2"/>
        <v/>
      </c>
      <c r="M32" s="13" t="str">
        <f t="shared" si="3"/>
        <v/>
      </c>
      <c r="N32" s="13" t="str">
        <f t="shared" si="4"/>
        <v/>
      </c>
      <c r="O32" s="13" t="str">
        <f t="shared" si="5"/>
        <v/>
      </c>
      <c r="P32" s="13">
        <f t="shared" si="6"/>
        <v>0</v>
      </c>
    </row>
    <row r="33" spans="1:16" x14ac:dyDescent="0.2">
      <c r="A33" s="12">
        <f t="shared" si="0"/>
        <v>46997</v>
      </c>
      <c r="B33" s="13" t="str">
        <f>IF(COUNTIFS('Dados Mensais (Histórico)'!$B$5:$B$521,B$5,'Dados Mensais (Histórico)'!$E$5:$E$521,$A33)=0,"",SUMIFS('Dados Mensais (Histórico)'!$J$5:$J$521,'Dados Mensais (Histórico)'!$B$5:$B$521,B$5,'Dados Mensais (Histórico)'!$E$5:$E$521,$A33))</f>
        <v/>
      </c>
      <c r="C33" s="13" t="str">
        <f>IF(COUNTIFS('Dados Mensais (Histórico)'!$B$5:$B$521,C$5,'Dados Mensais (Histórico)'!$E$5:$E$521,$A33)=0,"",SUMIFS('Dados Mensais (Histórico)'!$J$5:$J$521,'Dados Mensais (Histórico)'!$B$5:$B$521,C$5,'Dados Mensais (Histórico)'!$E$5:$E$521,$A33))</f>
        <v/>
      </c>
      <c r="D33" s="13" t="str">
        <f>IF(COUNTIFS('Dados Mensais (Histórico)'!$B$5:$B$521,D$5,'Dados Mensais (Histórico)'!$E$5:$E$521,$A33)=0,"",SUMIFS('Dados Mensais (Histórico)'!$J$5:$J$521,'Dados Mensais (Histórico)'!$B$5:$B$521,D$5,'Dados Mensais (Histórico)'!$E$5:$E$521,$A33))</f>
        <v/>
      </c>
      <c r="E33" s="13" t="str">
        <f>IF(COUNTIFS('Dados Mensais (Histórico)'!$B$5:$B$521,E$5,'Dados Mensais (Histórico)'!$E$5:$E$521,$A33)=0,"",SUMIFS('Dados Mensais (Histórico)'!$J$5:$J$521,'Dados Mensais (Histórico)'!$B$5:$B$521,E$5,'Dados Mensais (Histórico)'!$E$5:$E$521,$A33))</f>
        <v/>
      </c>
      <c r="F33" s="13" t="str">
        <f>IF(COUNTIFS('Dados Mensais (Histórico)'!$B$5:$B$521,F$5,'Dados Mensais (Histórico)'!$E$5:$E$521,$A33)=0,"",SUMIFS('Dados Mensais (Histórico)'!$J$5:$J$521,'Dados Mensais (Histórico)'!$B$5:$B$521,F$5,'Dados Mensais (Histórico)'!$E$5:$E$521,$A33))</f>
        <v/>
      </c>
      <c r="H33" s="41">
        <f>'Preco (R$ x KWh)'!B52</f>
        <v>0</v>
      </c>
      <c r="I33" s="41">
        <f t="shared" si="1"/>
        <v>0</v>
      </c>
      <c r="K33" s="13" t="str">
        <f t="shared" si="2"/>
        <v/>
      </c>
      <c r="L33" s="13" t="str">
        <f t="shared" si="2"/>
        <v/>
      </c>
      <c r="M33" s="13" t="str">
        <f t="shared" si="3"/>
        <v/>
      </c>
      <c r="N33" s="13" t="str">
        <f t="shared" si="4"/>
        <v/>
      </c>
      <c r="O33" s="13" t="str">
        <f t="shared" si="5"/>
        <v/>
      </c>
      <c r="P33" s="13">
        <f t="shared" si="6"/>
        <v>0</v>
      </c>
    </row>
    <row r="34" spans="1:16" x14ac:dyDescent="0.2">
      <c r="A34" s="12">
        <f t="shared" si="0"/>
        <v>47027</v>
      </c>
      <c r="B34" s="13" t="str">
        <f>IF(COUNTIFS('Dados Mensais (Histórico)'!$B$5:$B$521,B$5,'Dados Mensais (Histórico)'!$E$5:$E$521,$A34)=0,"",SUMIFS('Dados Mensais (Histórico)'!$J$5:$J$521,'Dados Mensais (Histórico)'!$B$5:$B$521,B$5,'Dados Mensais (Histórico)'!$E$5:$E$521,$A34))</f>
        <v/>
      </c>
      <c r="C34" s="13" t="str">
        <f>IF(COUNTIFS('Dados Mensais (Histórico)'!$B$5:$B$521,C$5,'Dados Mensais (Histórico)'!$E$5:$E$521,$A34)=0,"",SUMIFS('Dados Mensais (Histórico)'!$J$5:$J$521,'Dados Mensais (Histórico)'!$B$5:$B$521,C$5,'Dados Mensais (Histórico)'!$E$5:$E$521,$A34))</f>
        <v/>
      </c>
      <c r="D34" s="13" t="str">
        <f>IF(COUNTIFS('Dados Mensais (Histórico)'!$B$5:$B$521,D$5,'Dados Mensais (Histórico)'!$E$5:$E$521,$A34)=0,"",SUMIFS('Dados Mensais (Histórico)'!$J$5:$J$521,'Dados Mensais (Histórico)'!$B$5:$B$521,D$5,'Dados Mensais (Histórico)'!$E$5:$E$521,$A34))</f>
        <v/>
      </c>
      <c r="E34" s="13" t="str">
        <f>IF(COUNTIFS('Dados Mensais (Histórico)'!$B$5:$B$521,E$5,'Dados Mensais (Histórico)'!$E$5:$E$521,$A34)=0,"",SUMIFS('Dados Mensais (Histórico)'!$J$5:$J$521,'Dados Mensais (Histórico)'!$B$5:$B$521,E$5,'Dados Mensais (Histórico)'!$E$5:$E$521,$A34))</f>
        <v/>
      </c>
      <c r="F34" s="13" t="str">
        <f>IF(COUNTIFS('Dados Mensais (Histórico)'!$B$5:$B$521,F$5,'Dados Mensais (Histórico)'!$E$5:$E$521,$A34)=0,"",SUMIFS('Dados Mensais (Histórico)'!$J$5:$J$521,'Dados Mensais (Histórico)'!$B$5:$B$521,F$5,'Dados Mensais (Histórico)'!$E$5:$E$521,$A34))</f>
        <v/>
      </c>
      <c r="H34" s="41">
        <f>'Preco (R$ x KWh)'!B53</f>
        <v>0</v>
      </c>
      <c r="I34" s="41">
        <f t="shared" si="1"/>
        <v>0</v>
      </c>
      <c r="K34" s="13" t="str">
        <f t="shared" si="2"/>
        <v/>
      </c>
      <c r="L34" s="13" t="str">
        <f t="shared" si="2"/>
        <v/>
      </c>
      <c r="M34" s="13" t="str">
        <f t="shared" si="3"/>
        <v/>
      </c>
      <c r="N34" s="13" t="str">
        <f t="shared" si="4"/>
        <v/>
      </c>
      <c r="O34" s="13" t="str">
        <f t="shared" si="5"/>
        <v/>
      </c>
      <c r="P34" s="13">
        <f t="shared" si="6"/>
        <v>0</v>
      </c>
    </row>
    <row r="35" spans="1:16" x14ac:dyDescent="0.2">
      <c r="A35" s="12">
        <f t="shared" si="0"/>
        <v>47058</v>
      </c>
      <c r="B35" s="13" t="str">
        <f>IF(COUNTIFS('Dados Mensais (Histórico)'!$B$5:$B$521,B$5,'Dados Mensais (Histórico)'!$E$5:$E$521,$A35)=0,"",SUMIFS('Dados Mensais (Histórico)'!$J$5:$J$521,'Dados Mensais (Histórico)'!$B$5:$B$521,B$5,'Dados Mensais (Histórico)'!$E$5:$E$521,$A35))</f>
        <v/>
      </c>
      <c r="C35" s="13" t="str">
        <f>IF(COUNTIFS('Dados Mensais (Histórico)'!$B$5:$B$521,C$5,'Dados Mensais (Histórico)'!$E$5:$E$521,$A35)=0,"",SUMIFS('Dados Mensais (Histórico)'!$J$5:$J$521,'Dados Mensais (Histórico)'!$B$5:$B$521,C$5,'Dados Mensais (Histórico)'!$E$5:$E$521,$A35))</f>
        <v/>
      </c>
      <c r="D35" s="13" t="str">
        <f>IF(COUNTIFS('Dados Mensais (Histórico)'!$B$5:$B$521,D$5,'Dados Mensais (Histórico)'!$E$5:$E$521,$A35)=0,"",SUMIFS('Dados Mensais (Histórico)'!$J$5:$J$521,'Dados Mensais (Histórico)'!$B$5:$B$521,D$5,'Dados Mensais (Histórico)'!$E$5:$E$521,$A35))</f>
        <v/>
      </c>
      <c r="E35" s="13" t="str">
        <f>IF(COUNTIFS('Dados Mensais (Histórico)'!$B$5:$B$521,E$5,'Dados Mensais (Histórico)'!$E$5:$E$521,$A35)=0,"",SUMIFS('Dados Mensais (Histórico)'!$J$5:$J$521,'Dados Mensais (Histórico)'!$B$5:$B$521,E$5,'Dados Mensais (Histórico)'!$E$5:$E$521,$A35))</f>
        <v/>
      </c>
      <c r="F35" s="13" t="str">
        <f>IF(COUNTIFS('Dados Mensais (Histórico)'!$B$5:$B$521,F$5,'Dados Mensais (Histórico)'!$E$5:$E$521,$A35)=0,"",SUMIFS('Dados Mensais (Histórico)'!$J$5:$J$521,'Dados Mensais (Histórico)'!$B$5:$B$521,F$5,'Dados Mensais (Histórico)'!$E$5:$E$521,$A35))</f>
        <v/>
      </c>
      <c r="H35" s="41">
        <f>'Preco (R$ x KWh)'!B54</f>
        <v>0</v>
      </c>
      <c r="I35" s="41">
        <f t="shared" si="1"/>
        <v>0</v>
      </c>
      <c r="K35" s="13" t="str">
        <f t="shared" si="2"/>
        <v/>
      </c>
      <c r="L35" s="13" t="str">
        <f t="shared" si="2"/>
        <v/>
      </c>
      <c r="M35" s="13" t="str">
        <f t="shared" si="3"/>
        <v/>
      </c>
      <c r="N35" s="13" t="str">
        <f t="shared" si="4"/>
        <v/>
      </c>
      <c r="O35" s="13" t="str">
        <f t="shared" si="5"/>
        <v/>
      </c>
      <c r="P35" s="13">
        <f t="shared" si="6"/>
        <v>0</v>
      </c>
    </row>
    <row r="36" spans="1:16" x14ac:dyDescent="0.2">
      <c r="A36" s="12">
        <f t="shared" si="0"/>
        <v>47088</v>
      </c>
      <c r="B36" s="13" t="str">
        <f>IF(COUNTIFS('Dados Mensais (Histórico)'!$B$5:$B$521,B$5,'Dados Mensais (Histórico)'!$E$5:$E$521,$A36)=0,"",SUMIFS('Dados Mensais (Histórico)'!$J$5:$J$521,'Dados Mensais (Histórico)'!$B$5:$B$521,B$5,'Dados Mensais (Histórico)'!$E$5:$E$521,$A36))</f>
        <v/>
      </c>
      <c r="C36" s="13" t="str">
        <f>IF(COUNTIFS('Dados Mensais (Histórico)'!$B$5:$B$521,C$5,'Dados Mensais (Histórico)'!$E$5:$E$521,$A36)=0,"",SUMIFS('Dados Mensais (Histórico)'!$J$5:$J$521,'Dados Mensais (Histórico)'!$B$5:$B$521,C$5,'Dados Mensais (Histórico)'!$E$5:$E$521,$A36))</f>
        <v/>
      </c>
      <c r="D36" s="13" t="str">
        <f>IF(COUNTIFS('Dados Mensais (Histórico)'!$B$5:$B$521,D$5,'Dados Mensais (Histórico)'!$E$5:$E$521,$A36)=0,"",SUMIFS('Dados Mensais (Histórico)'!$J$5:$J$521,'Dados Mensais (Histórico)'!$B$5:$B$521,D$5,'Dados Mensais (Histórico)'!$E$5:$E$521,$A36))</f>
        <v/>
      </c>
      <c r="E36" s="13" t="str">
        <f>IF(COUNTIFS('Dados Mensais (Histórico)'!$B$5:$B$521,E$5,'Dados Mensais (Histórico)'!$E$5:$E$521,$A36)=0,"",SUMIFS('Dados Mensais (Histórico)'!$J$5:$J$521,'Dados Mensais (Histórico)'!$B$5:$B$521,E$5,'Dados Mensais (Histórico)'!$E$5:$E$521,$A36))</f>
        <v/>
      </c>
      <c r="F36" s="13" t="str">
        <f>IF(COUNTIFS('Dados Mensais (Histórico)'!$B$5:$B$521,F$5,'Dados Mensais (Histórico)'!$E$5:$E$521,$A36)=0,"",SUMIFS('Dados Mensais (Histórico)'!$J$5:$J$521,'Dados Mensais (Histórico)'!$B$5:$B$521,F$5,'Dados Mensais (Histórico)'!$E$5:$E$521,$A36))</f>
        <v/>
      </c>
      <c r="H36" s="41">
        <f>'Preco (R$ x KWh)'!B55</f>
        <v>0</v>
      </c>
      <c r="I36" s="41">
        <f t="shared" si="1"/>
        <v>0</v>
      </c>
      <c r="K36" s="13" t="str">
        <f t="shared" si="2"/>
        <v/>
      </c>
      <c r="L36" s="13" t="str">
        <f t="shared" si="2"/>
        <v/>
      </c>
      <c r="M36" s="13" t="str">
        <f t="shared" si="3"/>
        <v/>
      </c>
      <c r="N36" s="13" t="str">
        <f t="shared" si="4"/>
        <v/>
      </c>
      <c r="O36" s="13" t="str">
        <f t="shared" si="5"/>
        <v/>
      </c>
      <c r="P36" s="13">
        <f t="shared" si="6"/>
        <v>0</v>
      </c>
    </row>
    <row r="37" spans="1:16" x14ac:dyDescent="0.2">
      <c r="A37" s="12">
        <f t="shared" si="0"/>
        <v>47119</v>
      </c>
      <c r="B37" s="13" t="str">
        <f>IF(COUNTIFS('Dados Mensais (Histórico)'!$B$5:$B$521,B$5,'Dados Mensais (Histórico)'!$E$5:$E$521,$A37)=0,"",SUMIFS('Dados Mensais (Histórico)'!$J$5:$J$521,'Dados Mensais (Histórico)'!$B$5:$B$521,B$5,'Dados Mensais (Histórico)'!$E$5:$E$521,$A37))</f>
        <v/>
      </c>
      <c r="C37" s="13" t="str">
        <f>IF(COUNTIFS('Dados Mensais (Histórico)'!$B$5:$B$521,C$5,'Dados Mensais (Histórico)'!$E$5:$E$521,$A37)=0,"",SUMIFS('Dados Mensais (Histórico)'!$J$5:$J$521,'Dados Mensais (Histórico)'!$B$5:$B$521,C$5,'Dados Mensais (Histórico)'!$E$5:$E$521,$A37))</f>
        <v/>
      </c>
      <c r="D37" s="13" t="str">
        <f>IF(COUNTIFS('Dados Mensais (Histórico)'!$B$5:$B$521,D$5,'Dados Mensais (Histórico)'!$E$5:$E$521,$A37)=0,"",SUMIFS('Dados Mensais (Histórico)'!$J$5:$J$521,'Dados Mensais (Histórico)'!$B$5:$B$521,D$5,'Dados Mensais (Histórico)'!$E$5:$E$521,$A37))</f>
        <v/>
      </c>
      <c r="E37" s="13" t="str">
        <f>IF(COUNTIFS('Dados Mensais (Histórico)'!$B$5:$B$521,E$5,'Dados Mensais (Histórico)'!$E$5:$E$521,$A37)=0,"",SUMIFS('Dados Mensais (Histórico)'!$J$5:$J$521,'Dados Mensais (Histórico)'!$B$5:$B$521,E$5,'Dados Mensais (Histórico)'!$E$5:$E$521,$A37))</f>
        <v/>
      </c>
      <c r="F37" s="13" t="str">
        <f>IF(COUNTIFS('Dados Mensais (Histórico)'!$B$5:$B$521,F$5,'Dados Mensais (Histórico)'!$E$5:$E$521,$A37)=0,"",SUMIFS('Dados Mensais (Histórico)'!$J$5:$J$521,'Dados Mensais (Histórico)'!$B$5:$B$521,F$5,'Dados Mensais (Histórico)'!$E$5:$E$521,$A37))</f>
        <v/>
      </c>
      <c r="H37" s="41">
        <f>'Preco (R$ x KWh)'!B56</f>
        <v>0</v>
      </c>
      <c r="I37" s="41">
        <f t="shared" si="1"/>
        <v>0</v>
      </c>
      <c r="K37" s="13" t="str">
        <f t="shared" si="2"/>
        <v/>
      </c>
      <c r="L37" s="13" t="str">
        <f t="shared" si="2"/>
        <v/>
      </c>
      <c r="M37" s="13" t="str">
        <f t="shared" si="3"/>
        <v/>
      </c>
      <c r="N37" s="13" t="str">
        <f t="shared" si="4"/>
        <v/>
      </c>
      <c r="O37" s="13" t="str">
        <f t="shared" si="5"/>
        <v/>
      </c>
      <c r="P37" s="13">
        <f t="shared" si="6"/>
        <v>0</v>
      </c>
    </row>
    <row r="38" spans="1:16" x14ac:dyDescent="0.2">
      <c r="A38" s="12">
        <f t="shared" si="0"/>
        <v>47150</v>
      </c>
      <c r="B38" s="13" t="str">
        <f>IF(COUNTIFS('Dados Mensais (Histórico)'!$B$5:$B$521,B$5,'Dados Mensais (Histórico)'!$E$5:$E$521,$A38)=0,"",SUMIFS('Dados Mensais (Histórico)'!$J$5:$J$521,'Dados Mensais (Histórico)'!$B$5:$B$521,B$5,'Dados Mensais (Histórico)'!$E$5:$E$521,$A38))</f>
        <v/>
      </c>
      <c r="C38" s="13" t="str">
        <f>IF(COUNTIFS('Dados Mensais (Histórico)'!$B$5:$B$521,C$5,'Dados Mensais (Histórico)'!$E$5:$E$521,$A38)=0,"",SUMIFS('Dados Mensais (Histórico)'!$J$5:$J$521,'Dados Mensais (Histórico)'!$B$5:$B$521,C$5,'Dados Mensais (Histórico)'!$E$5:$E$521,$A38))</f>
        <v/>
      </c>
      <c r="D38" s="13" t="str">
        <f>IF(COUNTIFS('Dados Mensais (Histórico)'!$B$5:$B$521,D$5,'Dados Mensais (Histórico)'!$E$5:$E$521,$A38)=0,"",SUMIFS('Dados Mensais (Histórico)'!$J$5:$J$521,'Dados Mensais (Histórico)'!$B$5:$B$521,D$5,'Dados Mensais (Histórico)'!$E$5:$E$521,$A38))</f>
        <v/>
      </c>
      <c r="E38" s="13" t="str">
        <f>IF(COUNTIFS('Dados Mensais (Histórico)'!$B$5:$B$521,E$5,'Dados Mensais (Histórico)'!$E$5:$E$521,$A38)=0,"",SUMIFS('Dados Mensais (Histórico)'!$J$5:$J$521,'Dados Mensais (Histórico)'!$B$5:$B$521,E$5,'Dados Mensais (Histórico)'!$E$5:$E$521,$A38))</f>
        <v/>
      </c>
      <c r="F38" s="13" t="str">
        <f>IF(COUNTIFS('Dados Mensais (Histórico)'!$B$5:$B$521,F$5,'Dados Mensais (Histórico)'!$E$5:$E$521,$A38)=0,"",SUMIFS('Dados Mensais (Histórico)'!$J$5:$J$521,'Dados Mensais (Histórico)'!$B$5:$B$521,F$5,'Dados Mensais (Histórico)'!$E$5:$E$521,$A38))</f>
        <v/>
      </c>
      <c r="H38" s="41">
        <f>'Preco (R$ x KWh)'!B57</f>
        <v>0</v>
      </c>
      <c r="I38" s="41">
        <f t="shared" si="1"/>
        <v>0</v>
      </c>
      <c r="K38" s="13" t="str">
        <f t="shared" si="2"/>
        <v/>
      </c>
      <c r="L38" s="13" t="str">
        <f t="shared" si="2"/>
        <v/>
      </c>
      <c r="M38" s="13" t="str">
        <f t="shared" si="3"/>
        <v/>
      </c>
      <c r="N38" s="13" t="str">
        <f t="shared" si="4"/>
        <v/>
      </c>
      <c r="O38" s="13" t="str">
        <f t="shared" si="5"/>
        <v/>
      </c>
      <c r="P38" s="13">
        <f t="shared" si="6"/>
        <v>0</v>
      </c>
    </row>
    <row r="39" spans="1:16" x14ac:dyDescent="0.2">
      <c r="A39" s="12">
        <f t="shared" si="0"/>
        <v>47178</v>
      </c>
      <c r="B39" s="13" t="str">
        <f>IF(COUNTIFS('Dados Mensais (Histórico)'!$B$5:$B$521,B$5,'Dados Mensais (Histórico)'!$E$5:$E$521,$A39)=0,"",SUMIFS('Dados Mensais (Histórico)'!$J$5:$J$521,'Dados Mensais (Histórico)'!$B$5:$B$521,B$5,'Dados Mensais (Histórico)'!$E$5:$E$521,$A39))</f>
        <v/>
      </c>
      <c r="C39" s="13" t="str">
        <f>IF(COUNTIFS('Dados Mensais (Histórico)'!$B$5:$B$521,C$5,'Dados Mensais (Histórico)'!$E$5:$E$521,$A39)=0,"",SUMIFS('Dados Mensais (Histórico)'!$J$5:$J$521,'Dados Mensais (Histórico)'!$B$5:$B$521,C$5,'Dados Mensais (Histórico)'!$E$5:$E$521,$A39))</f>
        <v/>
      </c>
      <c r="D39" s="13" t="str">
        <f>IF(COUNTIFS('Dados Mensais (Histórico)'!$B$5:$B$521,D$5,'Dados Mensais (Histórico)'!$E$5:$E$521,$A39)=0,"",SUMIFS('Dados Mensais (Histórico)'!$J$5:$J$521,'Dados Mensais (Histórico)'!$B$5:$B$521,D$5,'Dados Mensais (Histórico)'!$E$5:$E$521,$A39))</f>
        <v/>
      </c>
      <c r="E39" s="13" t="str">
        <f>IF(COUNTIFS('Dados Mensais (Histórico)'!$B$5:$B$521,E$5,'Dados Mensais (Histórico)'!$E$5:$E$521,$A39)=0,"",SUMIFS('Dados Mensais (Histórico)'!$J$5:$J$521,'Dados Mensais (Histórico)'!$B$5:$B$521,E$5,'Dados Mensais (Histórico)'!$E$5:$E$521,$A39))</f>
        <v/>
      </c>
      <c r="F39" s="13" t="str">
        <f>IF(COUNTIFS('Dados Mensais (Histórico)'!$B$5:$B$521,F$5,'Dados Mensais (Histórico)'!$E$5:$E$521,$A39)=0,"",SUMIFS('Dados Mensais (Histórico)'!$J$5:$J$521,'Dados Mensais (Histórico)'!$B$5:$B$521,F$5,'Dados Mensais (Histórico)'!$E$5:$E$521,$A39))</f>
        <v/>
      </c>
      <c r="H39" s="41">
        <f>'Preco (R$ x KWh)'!B58</f>
        <v>0</v>
      </c>
      <c r="I39" s="41">
        <f t="shared" si="1"/>
        <v>0</v>
      </c>
      <c r="K39" s="13" t="str">
        <f t="shared" si="2"/>
        <v/>
      </c>
      <c r="L39" s="13" t="str">
        <f t="shared" si="2"/>
        <v/>
      </c>
      <c r="M39" s="13" t="str">
        <f t="shared" si="3"/>
        <v/>
      </c>
      <c r="N39" s="13" t="str">
        <f t="shared" si="4"/>
        <v/>
      </c>
      <c r="O39" s="13" t="str">
        <f t="shared" si="5"/>
        <v/>
      </c>
      <c r="P39" s="13">
        <f t="shared" si="6"/>
        <v>0</v>
      </c>
    </row>
    <row r="40" spans="1:16" x14ac:dyDescent="0.2">
      <c r="A40" s="12">
        <f t="shared" si="0"/>
        <v>47209</v>
      </c>
      <c r="B40" s="13" t="str">
        <f>IF(COUNTIFS('Dados Mensais (Histórico)'!$B$5:$B$521,B$5,'Dados Mensais (Histórico)'!$E$5:$E$521,$A40)=0,"",SUMIFS('Dados Mensais (Histórico)'!$J$5:$J$521,'Dados Mensais (Histórico)'!$B$5:$B$521,B$5,'Dados Mensais (Histórico)'!$E$5:$E$521,$A40))</f>
        <v/>
      </c>
      <c r="C40" s="13" t="str">
        <f>IF(COUNTIFS('Dados Mensais (Histórico)'!$B$5:$B$521,C$5,'Dados Mensais (Histórico)'!$E$5:$E$521,$A40)=0,"",SUMIFS('Dados Mensais (Histórico)'!$J$5:$J$521,'Dados Mensais (Histórico)'!$B$5:$B$521,C$5,'Dados Mensais (Histórico)'!$E$5:$E$521,$A40))</f>
        <v/>
      </c>
      <c r="D40" s="13" t="str">
        <f>IF(COUNTIFS('Dados Mensais (Histórico)'!$B$5:$B$521,D$5,'Dados Mensais (Histórico)'!$E$5:$E$521,$A40)=0,"",SUMIFS('Dados Mensais (Histórico)'!$J$5:$J$521,'Dados Mensais (Histórico)'!$B$5:$B$521,D$5,'Dados Mensais (Histórico)'!$E$5:$E$521,$A40))</f>
        <v/>
      </c>
      <c r="E40" s="13" t="str">
        <f>IF(COUNTIFS('Dados Mensais (Histórico)'!$B$5:$B$521,E$5,'Dados Mensais (Histórico)'!$E$5:$E$521,$A40)=0,"",SUMIFS('Dados Mensais (Histórico)'!$J$5:$J$521,'Dados Mensais (Histórico)'!$B$5:$B$521,E$5,'Dados Mensais (Histórico)'!$E$5:$E$521,$A40))</f>
        <v/>
      </c>
      <c r="F40" s="13" t="str">
        <f>IF(COUNTIFS('Dados Mensais (Histórico)'!$B$5:$B$521,F$5,'Dados Mensais (Histórico)'!$E$5:$E$521,$A40)=0,"",SUMIFS('Dados Mensais (Histórico)'!$J$5:$J$521,'Dados Mensais (Histórico)'!$B$5:$B$521,F$5,'Dados Mensais (Histórico)'!$E$5:$E$521,$A40))</f>
        <v/>
      </c>
      <c r="H40" s="41">
        <f>'Preco (R$ x KWh)'!B59</f>
        <v>0</v>
      </c>
      <c r="I40" s="41">
        <f t="shared" si="1"/>
        <v>0</v>
      </c>
      <c r="K40" s="13" t="str">
        <f t="shared" si="2"/>
        <v/>
      </c>
      <c r="L40" s="13" t="str">
        <f t="shared" si="2"/>
        <v/>
      </c>
      <c r="M40" s="13" t="str">
        <f t="shared" si="3"/>
        <v/>
      </c>
      <c r="N40" s="13" t="str">
        <f t="shared" si="4"/>
        <v/>
      </c>
      <c r="O40" s="13" t="str">
        <f t="shared" si="5"/>
        <v/>
      </c>
      <c r="P40" s="13">
        <f t="shared" si="6"/>
        <v>0</v>
      </c>
    </row>
    <row r="41" spans="1:16" x14ac:dyDescent="0.2">
      <c r="A41" s="12">
        <f t="shared" si="0"/>
        <v>47239</v>
      </c>
      <c r="B41" s="13" t="str">
        <f>IF(COUNTIFS('Dados Mensais (Histórico)'!$B$5:$B$521,B$5,'Dados Mensais (Histórico)'!$E$5:$E$521,$A41)=0,"",SUMIFS('Dados Mensais (Histórico)'!$J$5:$J$521,'Dados Mensais (Histórico)'!$B$5:$B$521,B$5,'Dados Mensais (Histórico)'!$E$5:$E$521,$A41))</f>
        <v/>
      </c>
      <c r="C41" s="13" t="str">
        <f>IF(COUNTIFS('Dados Mensais (Histórico)'!$B$5:$B$521,C$5,'Dados Mensais (Histórico)'!$E$5:$E$521,$A41)=0,"",SUMIFS('Dados Mensais (Histórico)'!$J$5:$J$521,'Dados Mensais (Histórico)'!$B$5:$B$521,C$5,'Dados Mensais (Histórico)'!$E$5:$E$521,$A41))</f>
        <v/>
      </c>
      <c r="D41" s="13" t="str">
        <f>IF(COUNTIFS('Dados Mensais (Histórico)'!$B$5:$B$521,D$5,'Dados Mensais (Histórico)'!$E$5:$E$521,$A41)=0,"",SUMIFS('Dados Mensais (Histórico)'!$J$5:$J$521,'Dados Mensais (Histórico)'!$B$5:$B$521,D$5,'Dados Mensais (Histórico)'!$E$5:$E$521,$A41))</f>
        <v/>
      </c>
      <c r="E41" s="13" t="str">
        <f>IF(COUNTIFS('Dados Mensais (Histórico)'!$B$5:$B$521,E$5,'Dados Mensais (Histórico)'!$E$5:$E$521,$A41)=0,"",SUMIFS('Dados Mensais (Histórico)'!$J$5:$J$521,'Dados Mensais (Histórico)'!$B$5:$B$521,E$5,'Dados Mensais (Histórico)'!$E$5:$E$521,$A41))</f>
        <v/>
      </c>
      <c r="F41" s="13" t="str">
        <f>IF(COUNTIFS('Dados Mensais (Histórico)'!$B$5:$B$521,F$5,'Dados Mensais (Histórico)'!$E$5:$E$521,$A41)=0,"",SUMIFS('Dados Mensais (Histórico)'!$J$5:$J$521,'Dados Mensais (Histórico)'!$B$5:$B$521,F$5,'Dados Mensais (Histórico)'!$E$5:$E$521,$A41))</f>
        <v/>
      </c>
      <c r="H41" s="41">
        <f>'Preco (R$ x KWh)'!B60</f>
        <v>0</v>
      </c>
      <c r="I41" s="41">
        <f t="shared" si="1"/>
        <v>0</v>
      </c>
      <c r="K41" s="13" t="str">
        <f t="shared" si="2"/>
        <v/>
      </c>
      <c r="L41" s="13" t="str">
        <f t="shared" si="2"/>
        <v/>
      </c>
      <c r="M41" s="13" t="str">
        <f t="shared" si="3"/>
        <v/>
      </c>
      <c r="N41" s="13" t="str">
        <f t="shared" si="4"/>
        <v/>
      </c>
      <c r="O41" s="13" t="str">
        <f t="shared" si="5"/>
        <v/>
      </c>
      <c r="P41" s="13">
        <f t="shared" si="6"/>
        <v>0</v>
      </c>
    </row>
    <row r="42" spans="1:16" x14ac:dyDescent="0.2">
      <c r="A42" s="12">
        <f t="shared" si="0"/>
        <v>47270</v>
      </c>
      <c r="B42" s="13" t="str">
        <f>IF(COUNTIFS('Dados Mensais (Histórico)'!$B$5:$B$521,B$5,'Dados Mensais (Histórico)'!$E$5:$E$521,$A42)=0,"",SUMIFS('Dados Mensais (Histórico)'!$J$5:$J$521,'Dados Mensais (Histórico)'!$B$5:$B$521,B$5,'Dados Mensais (Histórico)'!$E$5:$E$521,$A42))</f>
        <v/>
      </c>
      <c r="C42" s="13" t="str">
        <f>IF(COUNTIFS('Dados Mensais (Histórico)'!$B$5:$B$521,C$5,'Dados Mensais (Histórico)'!$E$5:$E$521,$A42)=0,"",SUMIFS('Dados Mensais (Histórico)'!$J$5:$J$521,'Dados Mensais (Histórico)'!$B$5:$B$521,C$5,'Dados Mensais (Histórico)'!$E$5:$E$521,$A42))</f>
        <v/>
      </c>
      <c r="D42" s="13" t="str">
        <f>IF(COUNTIFS('Dados Mensais (Histórico)'!$B$5:$B$521,D$5,'Dados Mensais (Histórico)'!$E$5:$E$521,$A42)=0,"",SUMIFS('Dados Mensais (Histórico)'!$J$5:$J$521,'Dados Mensais (Histórico)'!$B$5:$B$521,D$5,'Dados Mensais (Histórico)'!$E$5:$E$521,$A42))</f>
        <v/>
      </c>
      <c r="E42" s="13" t="str">
        <f>IF(COUNTIFS('Dados Mensais (Histórico)'!$B$5:$B$521,E$5,'Dados Mensais (Histórico)'!$E$5:$E$521,$A42)=0,"",SUMIFS('Dados Mensais (Histórico)'!$J$5:$J$521,'Dados Mensais (Histórico)'!$B$5:$B$521,E$5,'Dados Mensais (Histórico)'!$E$5:$E$521,$A42))</f>
        <v/>
      </c>
      <c r="F42" s="13" t="str">
        <f>IF(COUNTIFS('Dados Mensais (Histórico)'!$B$5:$B$521,F$5,'Dados Mensais (Histórico)'!$E$5:$E$521,$A42)=0,"",SUMIFS('Dados Mensais (Histórico)'!$J$5:$J$521,'Dados Mensais (Histórico)'!$B$5:$B$521,F$5,'Dados Mensais (Histórico)'!$E$5:$E$521,$A42))</f>
        <v/>
      </c>
      <c r="H42" s="41">
        <f>'Preco (R$ x KWh)'!B61</f>
        <v>0</v>
      </c>
      <c r="I42" s="41">
        <f t="shared" si="1"/>
        <v>0</v>
      </c>
      <c r="K42" s="13" t="str">
        <f t="shared" si="2"/>
        <v/>
      </c>
      <c r="L42" s="13" t="str">
        <f t="shared" si="2"/>
        <v/>
      </c>
      <c r="M42" s="13" t="str">
        <f t="shared" si="3"/>
        <v/>
      </c>
      <c r="N42" s="13" t="str">
        <f t="shared" si="4"/>
        <v/>
      </c>
      <c r="O42" s="13" t="str">
        <f t="shared" si="5"/>
        <v/>
      </c>
      <c r="P42" s="13">
        <f t="shared" si="6"/>
        <v>0</v>
      </c>
    </row>
  </sheetData>
  <mergeCells count="4">
    <mergeCell ref="P3:P6"/>
    <mergeCell ref="A1:G1"/>
    <mergeCell ref="A2:G2"/>
    <mergeCell ref="K3:O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showGridLines="0" topLeftCell="B1" zoomScaleNormal="100" workbookViewId="0">
      <pane ySplit="4" topLeftCell="A9" activePane="bottomLeft" state="frozen"/>
      <selection pane="bottomLeft" activeCell="C8" sqref="C8:D20"/>
    </sheetView>
  </sheetViews>
  <sheetFormatPr defaultColWidth="8.7109375" defaultRowHeight="11.25" outlineLevelCol="1" x14ac:dyDescent="0.2"/>
  <cols>
    <col min="1" max="1" width="14" style="33" hidden="1" customWidth="1" outlineLevel="1"/>
    <col min="2" max="2" width="40" style="33" customWidth="1" collapsed="1"/>
    <col min="3" max="4" width="16" style="33" customWidth="1"/>
    <col min="5" max="8" width="12" style="33" customWidth="1"/>
    <col min="9" max="9" width="8.42578125" style="33" customWidth="1"/>
    <col min="10" max="10" width="14" style="33" customWidth="1"/>
    <col min="11" max="11" width="16" style="33" customWidth="1"/>
    <col min="12" max="12" width="14" style="33" customWidth="1"/>
    <col min="13" max="13" width="18" style="33" customWidth="1"/>
    <col min="14" max="15" width="16" style="33" customWidth="1"/>
    <col min="16" max="16384" width="8.7109375" style="33"/>
  </cols>
  <sheetData>
    <row r="1" spans="1:15" ht="21.75" customHeight="1" x14ac:dyDescent="0.25">
      <c r="B1" s="85" t="s">
        <v>79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15.75" customHeight="1" x14ac:dyDescent="0.2">
      <c r="B2" s="81" t="s">
        <v>80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spans="1:15" ht="33.75" x14ac:dyDescent="0.2">
      <c r="A4" s="33" t="s">
        <v>179</v>
      </c>
      <c r="B4" s="8" t="s">
        <v>35</v>
      </c>
      <c r="C4" s="8" t="s">
        <v>81</v>
      </c>
      <c r="D4" s="8" t="s">
        <v>170</v>
      </c>
      <c r="E4" s="8" t="s">
        <v>38</v>
      </c>
      <c r="F4" s="8" t="s">
        <v>82</v>
      </c>
      <c r="G4" s="8" t="s">
        <v>83</v>
      </c>
      <c r="H4" s="8" t="s">
        <v>84</v>
      </c>
      <c r="I4" s="8" t="s">
        <v>164</v>
      </c>
      <c r="J4" s="8" t="s">
        <v>85</v>
      </c>
      <c r="K4" s="8" t="s">
        <v>86</v>
      </c>
      <c r="L4" s="8" t="s">
        <v>87</v>
      </c>
      <c r="M4" s="8" t="s">
        <v>88</v>
      </c>
      <c r="N4" s="8" t="s">
        <v>89</v>
      </c>
      <c r="O4" s="8" t="s">
        <v>90</v>
      </c>
    </row>
    <row r="5" spans="1:15" ht="22.5" x14ac:dyDescent="0.2">
      <c r="A5" s="33" t="str">
        <f>CONCATENATE(C5,H5)</f>
        <v>703010264346204</v>
      </c>
      <c r="B5" s="9" t="s">
        <v>41</v>
      </c>
      <c r="C5" s="11">
        <v>7030102643</v>
      </c>
      <c r="D5" s="46" t="s">
        <v>171</v>
      </c>
      <c r="E5" s="13">
        <v>30</v>
      </c>
      <c r="F5" s="11" t="s">
        <v>91</v>
      </c>
      <c r="G5" s="11" t="s">
        <v>92</v>
      </c>
      <c r="H5" s="12">
        <v>46204</v>
      </c>
      <c r="I5" s="13"/>
      <c r="J5" s="13">
        <v>338</v>
      </c>
      <c r="K5" s="13">
        <v>0</v>
      </c>
      <c r="L5" s="13">
        <v>338</v>
      </c>
      <c r="M5" s="13">
        <v>338</v>
      </c>
      <c r="N5" s="92">
        <v>48030</v>
      </c>
      <c r="O5" s="13">
        <v>0</v>
      </c>
    </row>
    <row r="6" spans="1:15" x14ac:dyDescent="0.2">
      <c r="A6" s="33" t="str">
        <f t="shared" ref="A6:A22" si="0">CONCATENATE(C6,H6)</f>
        <v>703086904946204</v>
      </c>
      <c r="B6" s="9" t="s">
        <v>44</v>
      </c>
      <c r="C6" s="11" t="s">
        <v>45</v>
      </c>
      <c r="D6" s="46" t="s">
        <v>172</v>
      </c>
      <c r="E6" s="13">
        <v>33</v>
      </c>
      <c r="F6" s="11" t="s">
        <v>94</v>
      </c>
      <c r="G6" s="11" t="s">
        <v>92</v>
      </c>
      <c r="H6" s="12">
        <v>46204</v>
      </c>
      <c r="I6" s="13"/>
      <c r="J6" s="13">
        <v>875</v>
      </c>
      <c r="K6" s="13">
        <v>0</v>
      </c>
      <c r="L6" s="13">
        <v>875</v>
      </c>
      <c r="M6" s="13">
        <v>875</v>
      </c>
      <c r="N6" s="11" t="s">
        <v>93</v>
      </c>
      <c r="O6" s="13">
        <v>0</v>
      </c>
    </row>
    <row r="7" spans="1:15" x14ac:dyDescent="0.2">
      <c r="A7" s="33" t="str">
        <f t="shared" si="0"/>
        <v>703086906546204</v>
      </c>
      <c r="B7" s="9" t="s">
        <v>47</v>
      </c>
      <c r="C7" s="11" t="s">
        <v>48</v>
      </c>
      <c r="D7" s="11"/>
      <c r="E7" s="13">
        <v>15</v>
      </c>
      <c r="F7" s="11" t="s">
        <v>94</v>
      </c>
      <c r="G7" s="11" t="s">
        <v>92</v>
      </c>
      <c r="H7" s="12">
        <v>46204</v>
      </c>
      <c r="I7" s="13"/>
      <c r="J7" s="13">
        <v>579</v>
      </c>
      <c r="K7" s="13">
        <v>0</v>
      </c>
      <c r="L7" s="13">
        <v>579</v>
      </c>
      <c r="M7" s="13">
        <v>579</v>
      </c>
      <c r="N7" s="11" t="s">
        <v>93</v>
      </c>
      <c r="O7" s="13">
        <v>0</v>
      </c>
    </row>
    <row r="8" spans="1:15" ht="22.5" x14ac:dyDescent="0.2">
      <c r="A8" s="33" t="str">
        <f t="shared" si="0"/>
        <v>703086929446204</v>
      </c>
      <c r="B8" s="9" t="s">
        <v>49</v>
      </c>
      <c r="C8" s="93" t="s">
        <v>50</v>
      </c>
      <c r="D8" s="94" t="s">
        <v>173</v>
      </c>
      <c r="E8" s="13">
        <v>15</v>
      </c>
      <c r="F8" s="11" t="s">
        <v>91</v>
      </c>
      <c r="G8" s="11" t="s">
        <v>92</v>
      </c>
      <c r="H8" s="12">
        <v>46204</v>
      </c>
      <c r="I8" s="13"/>
      <c r="J8" s="13">
        <v>608</v>
      </c>
      <c r="K8" s="13">
        <v>0</v>
      </c>
      <c r="L8" s="13">
        <v>608</v>
      </c>
      <c r="M8" s="13">
        <v>608</v>
      </c>
      <c r="N8" s="11" t="s">
        <v>93</v>
      </c>
      <c r="O8" s="13">
        <v>0</v>
      </c>
    </row>
    <row r="9" spans="1:15" ht="22.5" x14ac:dyDescent="0.2">
      <c r="A9" s="33" t="str">
        <f t="shared" si="0"/>
        <v>703010264346235</v>
      </c>
      <c r="B9" s="9" t="s">
        <v>41</v>
      </c>
      <c r="C9" s="93">
        <v>7030102643</v>
      </c>
      <c r="D9" s="94" t="s">
        <v>171</v>
      </c>
      <c r="E9" s="13">
        <v>30</v>
      </c>
      <c r="F9" s="11" t="s">
        <v>91</v>
      </c>
      <c r="G9" s="11" t="s">
        <v>92</v>
      </c>
      <c r="H9" s="12">
        <v>46235</v>
      </c>
      <c r="I9" s="13"/>
      <c r="J9" s="13">
        <v>3763</v>
      </c>
      <c r="K9" s="13">
        <v>0</v>
      </c>
      <c r="L9" s="13">
        <v>338</v>
      </c>
      <c r="M9" s="13">
        <v>11593.15</v>
      </c>
      <c r="N9" s="92">
        <v>47727</v>
      </c>
      <c r="O9" s="13">
        <v>0</v>
      </c>
    </row>
    <row r="10" spans="1:15" x14ac:dyDescent="0.2">
      <c r="A10" s="33" t="str">
        <f t="shared" si="0"/>
        <v>703086904946235</v>
      </c>
      <c r="B10" s="9" t="s">
        <v>44</v>
      </c>
      <c r="C10" s="93" t="s">
        <v>45</v>
      </c>
      <c r="D10" s="94" t="s">
        <v>172</v>
      </c>
      <c r="E10" s="13">
        <v>33</v>
      </c>
      <c r="F10" s="11" t="s">
        <v>94</v>
      </c>
      <c r="G10" s="11" t="s">
        <v>92</v>
      </c>
      <c r="H10" s="12">
        <v>46235</v>
      </c>
      <c r="I10" s="13"/>
      <c r="J10" s="13">
        <v>4460</v>
      </c>
      <c r="K10" s="13">
        <v>0</v>
      </c>
      <c r="L10" s="13">
        <v>4460</v>
      </c>
      <c r="M10" s="13">
        <v>875</v>
      </c>
      <c r="N10" s="11" t="s">
        <v>93</v>
      </c>
      <c r="O10" s="13">
        <v>0</v>
      </c>
    </row>
    <row r="11" spans="1:15" x14ac:dyDescent="0.2">
      <c r="A11" s="33" t="str">
        <f t="shared" si="0"/>
        <v>703086906546235</v>
      </c>
      <c r="B11" s="9" t="s">
        <v>47</v>
      </c>
      <c r="C11" s="93" t="s">
        <v>48</v>
      </c>
      <c r="D11" s="93"/>
      <c r="E11" s="13">
        <v>15</v>
      </c>
      <c r="F11" s="11" t="s">
        <v>91</v>
      </c>
      <c r="G11" s="11" t="s">
        <v>92</v>
      </c>
      <c r="H11" s="12">
        <v>46235</v>
      </c>
      <c r="I11" s="13"/>
      <c r="J11" s="13">
        <v>3913</v>
      </c>
      <c r="K11" s="13">
        <v>2552</v>
      </c>
      <c r="L11" s="13">
        <v>1361</v>
      </c>
      <c r="M11" s="13">
        <v>579</v>
      </c>
      <c r="N11" s="11" t="s">
        <v>93</v>
      </c>
      <c r="O11" s="13">
        <v>0</v>
      </c>
    </row>
    <row r="12" spans="1:15" ht="22.5" x14ac:dyDescent="0.2">
      <c r="A12" s="33" t="str">
        <f t="shared" si="0"/>
        <v>703086929446235</v>
      </c>
      <c r="B12" s="9" t="s">
        <v>49</v>
      </c>
      <c r="C12" s="93" t="s">
        <v>50</v>
      </c>
      <c r="D12" s="94" t="s">
        <v>173</v>
      </c>
      <c r="E12" s="13">
        <v>15</v>
      </c>
      <c r="F12" s="11" t="s">
        <v>91</v>
      </c>
      <c r="G12" s="11" t="s">
        <v>92</v>
      </c>
      <c r="H12" s="12">
        <v>46235</v>
      </c>
      <c r="I12" s="13"/>
      <c r="J12" s="13">
        <v>3930</v>
      </c>
      <c r="K12" s="13">
        <v>3711</v>
      </c>
      <c r="L12" s="13">
        <v>827</v>
      </c>
      <c r="M12" s="13">
        <v>608</v>
      </c>
      <c r="N12" s="11" t="s">
        <v>93</v>
      </c>
      <c r="O12" s="13">
        <v>0</v>
      </c>
    </row>
    <row r="13" spans="1:15" ht="22.5" x14ac:dyDescent="0.2">
      <c r="A13" s="33" t="str">
        <f t="shared" si="0"/>
        <v>703010264346266</v>
      </c>
      <c r="B13" s="9" t="s">
        <v>41</v>
      </c>
      <c r="C13" s="93">
        <v>7030102643</v>
      </c>
      <c r="D13" s="94" t="s">
        <v>171</v>
      </c>
      <c r="E13" s="13">
        <v>30</v>
      </c>
      <c r="F13" s="11" t="s">
        <v>91</v>
      </c>
      <c r="G13" s="11" t="s">
        <v>92</v>
      </c>
      <c r="H13" s="12">
        <v>46266</v>
      </c>
      <c r="I13" s="13"/>
      <c r="J13" s="13">
        <v>8462</v>
      </c>
      <c r="K13" s="13">
        <v>0</v>
      </c>
      <c r="L13" s="13">
        <v>338</v>
      </c>
      <c r="M13" s="13">
        <v>11593.15</v>
      </c>
      <c r="N13" s="92">
        <v>47727</v>
      </c>
      <c r="O13" s="13">
        <v>0</v>
      </c>
    </row>
    <row r="14" spans="1:15" x14ac:dyDescent="0.2">
      <c r="A14" s="33" t="str">
        <f t="shared" si="0"/>
        <v>703086904946266</v>
      </c>
      <c r="B14" s="9" t="s">
        <v>44</v>
      </c>
      <c r="C14" s="93" t="s">
        <v>45</v>
      </c>
      <c r="D14" s="94" t="s">
        <v>172</v>
      </c>
      <c r="E14" s="13">
        <v>33</v>
      </c>
      <c r="F14" s="11" t="s">
        <v>94</v>
      </c>
      <c r="G14" s="11" t="s">
        <v>92</v>
      </c>
      <c r="H14" s="12">
        <v>46266</v>
      </c>
      <c r="I14" s="13"/>
      <c r="J14" s="13">
        <v>8831</v>
      </c>
      <c r="K14" s="13">
        <v>0</v>
      </c>
      <c r="L14" s="13">
        <v>8831</v>
      </c>
      <c r="M14" s="13">
        <v>875</v>
      </c>
      <c r="N14" s="11" t="s">
        <v>93</v>
      </c>
      <c r="O14" s="13">
        <v>0</v>
      </c>
    </row>
    <row r="15" spans="1:15" ht="22.5" x14ac:dyDescent="0.2">
      <c r="A15" s="33" t="str">
        <f t="shared" si="0"/>
        <v>703086929446266</v>
      </c>
      <c r="B15" s="9" t="s">
        <v>49</v>
      </c>
      <c r="C15" s="93" t="s">
        <v>50</v>
      </c>
      <c r="D15" s="94" t="s">
        <v>173</v>
      </c>
      <c r="E15" s="13">
        <v>60</v>
      </c>
      <c r="F15" s="11" t="s">
        <v>91</v>
      </c>
      <c r="G15" s="11" t="s">
        <v>92</v>
      </c>
      <c r="H15" s="12">
        <v>46266</v>
      </c>
      <c r="I15" s="13"/>
      <c r="J15" s="13">
        <v>9082</v>
      </c>
      <c r="K15" s="13">
        <v>7958</v>
      </c>
      <c r="L15" s="13">
        <v>1732</v>
      </c>
      <c r="M15" s="13">
        <v>608</v>
      </c>
      <c r="N15" s="11" t="s">
        <v>93</v>
      </c>
      <c r="O15" s="13">
        <v>0</v>
      </c>
    </row>
    <row r="16" spans="1:15" x14ac:dyDescent="0.2">
      <c r="A16" s="33" t="str">
        <f t="shared" ref="A16" si="1">CONCATENATE(C16,H16)</f>
        <v>703086906546266</v>
      </c>
      <c r="B16" s="9" t="s">
        <v>47</v>
      </c>
      <c r="C16" s="93" t="s">
        <v>48</v>
      </c>
      <c r="D16" s="93"/>
      <c r="E16" s="13">
        <v>60</v>
      </c>
      <c r="F16" s="11" t="s">
        <v>91</v>
      </c>
      <c r="G16" s="11" t="s">
        <v>92</v>
      </c>
      <c r="H16" s="12">
        <v>46266</v>
      </c>
      <c r="I16" s="13">
        <v>1361</v>
      </c>
      <c r="J16" s="13">
        <v>7136</v>
      </c>
      <c r="K16" s="13">
        <v>4503</v>
      </c>
      <c r="L16" s="13">
        <v>2633</v>
      </c>
      <c r="M16" s="13">
        <v>579</v>
      </c>
      <c r="N16" s="11" t="s">
        <v>93</v>
      </c>
      <c r="O16" s="13">
        <v>0</v>
      </c>
    </row>
    <row r="17" spans="1:15" ht="22.5" x14ac:dyDescent="0.2">
      <c r="A17" s="33" t="str">
        <f t="shared" si="0"/>
        <v>703175443146296</v>
      </c>
      <c r="B17" s="9" t="s">
        <v>41</v>
      </c>
      <c r="C17" s="93">
        <v>7031754431</v>
      </c>
      <c r="D17" s="94" t="s">
        <v>183</v>
      </c>
      <c r="E17" s="13">
        <v>33</v>
      </c>
      <c r="F17" s="11" t="s">
        <v>91</v>
      </c>
      <c r="G17" s="11" t="s">
        <v>92</v>
      </c>
      <c r="H17" s="12">
        <v>46296</v>
      </c>
      <c r="I17" s="13"/>
      <c r="J17" s="13">
        <v>3633</v>
      </c>
      <c r="K17" s="13">
        <v>0</v>
      </c>
      <c r="L17" s="13">
        <v>3633</v>
      </c>
      <c r="M17" s="13">
        <v>338</v>
      </c>
      <c r="N17" s="92">
        <v>47665</v>
      </c>
      <c r="O17" s="13">
        <v>0</v>
      </c>
    </row>
    <row r="18" spans="1:15" ht="22.5" x14ac:dyDescent="0.2">
      <c r="A18" s="33" t="str">
        <f t="shared" si="0"/>
        <v>703010264346296</v>
      </c>
      <c r="B18" s="9" t="s">
        <v>41</v>
      </c>
      <c r="C18" s="93">
        <v>7030102643</v>
      </c>
      <c r="D18" s="94" t="s">
        <v>171</v>
      </c>
      <c r="E18" s="13">
        <v>60</v>
      </c>
      <c r="F18" s="11" t="s">
        <v>91</v>
      </c>
      <c r="G18" s="11" t="s">
        <v>92</v>
      </c>
      <c r="H18" s="12">
        <v>46296</v>
      </c>
      <c r="I18" s="13"/>
      <c r="J18" s="13">
        <v>4368</v>
      </c>
      <c r="K18" s="13">
        <v>0</v>
      </c>
      <c r="L18" s="13">
        <v>338</v>
      </c>
      <c r="M18" s="13">
        <v>11593.15</v>
      </c>
      <c r="N18" s="92">
        <v>47727</v>
      </c>
      <c r="O18" s="13">
        <v>0</v>
      </c>
    </row>
    <row r="19" spans="1:15" x14ac:dyDescent="0.2">
      <c r="A19" s="33" t="str">
        <f t="shared" si="0"/>
        <v>703086904946296</v>
      </c>
      <c r="B19" s="9" t="s">
        <v>44</v>
      </c>
      <c r="C19" s="93" t="s">
        <v>45</v>
      </c>
      <c r="D19" s="94" t="s">
        <v>172</v>
      </c>
      <c r="E19" s="13">
        <v>60</v>
      </c>
      <c r="F19" s="11" t="s">
        <v>94</v>
      </c>
      <c r="G19" s="11" t="s">
        <v>92</v>
      </c>
      <c r="H19" s="12">
        <v>46296</v>
      </c>
      <c r="I19" s="13"/>
      <c r="J19" s="13">
        <v>15158</v>
      </c>
      <c r="K19" s="13">
        <v>0</v>
      </c>
      <c r="L19" s="13">
        <v>15158</v>
      </c>
      <c r="M19" s="13">
        <v>875</v>
      </c>
      <c r="N19" s="11" t="s">
        <v>93</v>
      </c>
      <c r="O19" s="13">
        <v>0</v>
      </c>
    </row>
    <row r="20" spans="1:15" ht="22.5" x14ac:dyDescent="0.2">
      <c r="A20" s="33" t="str">
        <f t="shared" si="0"/>
        <v>703086929446296</v>
      </c>
      <c r="B20" s="9" t="s">
        <v>49</v>
      </c>
      <c r="C20" s="93" t="s">
        <v>50</v>
      </c>
      <c r="D20" s="94" t="s">
        <v>173</v>
      </c>
      <c r="E20" s="13">
        <v>60</v>
      </c>
      <c r="F20" s="11" t="s">
        <v>91</v>
      </c>
      <c r="G20" s="11" t="s">
        <v>92</v>
      </c>
      <c r="H20" s="12">
        <v>46296</v>
      </c>
      <c r="I20" s="13"/>
      <c r="J20" s="13">
        <v>19215</v>
      </c>
      <c r="K20" s="13">
        <v>11431</v>
      </c>
      <c r="L20" s="13">
        <v>8392</v>
      </c>
      <c r="M20" s="13">
        <v>608</v>
      </c>
      <c r="N20" s="11" t="s">
        <v>93</v>
      </c>
      <c r="O20" s="13">
        <v>0</v>
      </c>
    </row>
    <row r="21" spans="1:15" x14ac:dyDescent="0.2">
      <c r="A21" s="33" t="str">
        <f t="shared" si="0"/>
        <v/>
      </c>
      <c r="B21" s="34"/>
      <c r="C21" s="34"/>
      <c r="D21" s="34"/>
      <c r="E21" s="35"/>
      <c r="F21" s="34"/>
      <c r="G21" s="34"/>
      <c r="H21" s="36"/>
      <c r="I21" s="35"/>
      <c r="J21" s="35"/>
      <c r="K21" s="35"/>
      <c r="L21" s="35"/>
      <c r="M21" s="35"/>
      <c r="N21" s="34"/>
      <c r="O21" s="35"/>
    </row>
    <row r="22" spans="1:15" x14ac:dyDescent="0.2">
      <c r="A22" s="33" t="str">
        <f t="shared" si="0"/>
        <v/>
      </c>
      <c r="B22" s="34"/>
      <c r="C22" s="34"/>
      <c r="D22" s="34"/>
      <c r="E22" s="35"/>
      <c r="F22" s="34"/>
      <c r="G22" s="34"/>
      <c r="H22" s="36"/>
      <c r="I22" s="35"/>
      <c r="J22" s="35"/>
      <c r="K22" s="35"/>
      <c r="L22" s="35"/>
      <c r="M22" s="35"/>
      <c r="N22" s="34"/>
      <c r="O22" s="35"/>
    </row>
    <row r="24" spans="1:15" ht="60" customHeight="1" x14ac:dyDescent="0.2">
      <c r="B24" s="86" t="s">
        <v>95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</sheetData>
  <autoFilter ref="B4:O22" xr:uid="{00000000-0001-0000-0200-000000000000}"/>
  <mergeCells count="3">
    <mergeCell ref="B1:O1"/>
    <mergeCell ref="B2:O2"/>
    <mergeCell ref="B24:O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showGridLines="0" zoomScaleNormal="100" workbookViewId="0">
      <pane ySplit="4" topLeftCell="A5" activePane="bottomLeft" state="frozen"/>
      <selection pane="bottomLeft" activeCell="H14" sqref="H14"/>
    </sheetView>
  </sheetViews>
  <sheetFormatPr defaultColWidth="8.7109375" defaultRowHeight="11.25" x14ac:dyDescent="0.25"/>
  <cols>
    <col min="1" max="1" width="36.85546875" style="47" bestFit="1" customWidth="1"/>
    <col min="2" max="2" width="18.42578125" style="47" bestFit="1" customWidth="1"/>
    <col min="3" max="3" width="12.5703125" style="47" bestFit="1" customWidth="1"/>
    <col min="4" max="4" width="12.5703125" style="47" customWidth="1"/>
    <col min="5" max="5" width="26.42578125" style="47" bestFit="1" customWidth="1"/>
    <col min="6" max="6" width="11.85546875" style="47" bestFit="1" customWidth="1"/>
    <col min="7" max="7" width="12.5703125" style="47" bestFit="1" customWidth="1"/>
    <col min="8" max="8" width="11.28515625" style="47" bestFit="1" customWidth="1"/>
    <col min="9" max="9" width="60.28515625" style="47" customWidth="1"/>
    <col min="10" max="16384" width="8.7109375" style="47"/>
  </cols>
  <sheetData>
    <row r="1" spans="1:9" ht="18" x14ac:dyDescent="0.25">
      <c r="A1" s="88" t="s">
        <v>96</v>
      </c>
      <c r="B1" s="88"/>
      <c r="C1" s="88"/>
      <c r="D1" s="88"/>
      <c r="E1" s="88"/>
      <c r="F1" s="88"/>
      <c r="G1" s="88"/>
      <c r="H1" s="88"/>
      <c r="I1" s="88"/>
    </row>
    <row r="2" spans="1:9" x14ac:dyDescent="0.25">
      <c r="A2" s="68" t="s">
        <v>97</v>
      </c>
      <c r="B2" s="68"/>
      <c r="C2" s="68"/>
      <c r="D2" s="68"/>
      <c r="E2" s="68"/>
      <c r="F2" s="68"/>
      <c r="G2" s="68"/>
      <c r="H2" s="68"/>
      <c r="I2" s="68"/>
    </row>
    <row r="4" spans="1:9" ht="22.5" x14ac:dyDescent="0.25">
      <c r="A4" s="8" t="s">
        <v>64</v>
      </c>
      <c r="B4" s="8" t="s">
        <v>98</v>
      </c>
      <c r="C4" s="8" t="s">
        <v>99</v>
      </c>
      <c r="D4" s="8" t="s">
        <v>170</v>
      </c>
      <c r="E4" s="8" t="s">
        <v>66</v>
      </c>
      <c r="F4" s="8" t="s">
        <v>100</v>
      </c>
      <c r="G4" s="8" t="s">
        <v>69</v>
      </c>
      <c r="H4" s="8" t="s">
        <v>83</v>
      </c>
      <c r="I4" s="8" t="s">
        <v>101</v>
      </c>
    </row>
    <row r="5" spans="1:9" ht="22.5" x14ac:dyDescent="0.25">
      <c r="A5" s="37" t="s">
        <v>41</v>
      </c>
      <c r="B5" s="48" t="s">
        <v>42</v>
      </c>
      <c r="C5" s="48" t="s">
        <v>42</v>
      </c>
      <c r="D5" s="48" t="s">
        <v>171</v>
      </c>
      <c r="E5" s="48" t="s">
        <v>102</v>
      </c>
      <c r="F5" s="49">
        <v>0</v>
      </c>
      <c r="G5" s="50">
        <v>46204</v>
      </c>
      <c r="H5" s="48" t="s">
        <v>92</v>
      </c>
      <c r="I5" s="37" t="s">
        <v>103</v>
      </c>
    </row>
    <row r="6" spans="1:9" ht="22.5" x14ac:dyDescent="0.25">
      <c r="A6" s="38" t="s">
        <v>41</v>
      </c>
      <c r="B6" s="51" t="s">
        <v>42</v>
      </c>
      <c r="C6" s="51" t="s">
        <v>70</v>
      </c>
      <c r="D6" s="51"/>
      <c r="E6" s="51" t="s">
        <v>71</v>
      </c>
      <c r="F6" s="52">
        <v>1</v>
      </c>
      <c r="G6" s="53">
        <v>46204</v>
      </c>
      <c r="H6" s="51" t="s">
        <v>92</v>
      </c>
      <c r="I6" s="38" t="s">
        <v>104</v>
      </c>
    </row>
    <row r="7" spans="1:9" x14ac:dyDescent="0.25">
      <c r="A7" s="39" t="s">
        <v>44</v>
      </c>
      <c r="B7" s="54" t="s">
        <v>45</v>
      </c>
      <c r="C7" s="54" t="s">
        <v>45</v>
      </c>
      <c r="D7" s="54"/>
      <c r="E7" s="54" t="s">
        <v>72</v>
      </c>
      <c r="F7" s="55">
        <v>1</v>
      </c>
      <c r="G7" s="56">
        <v>46204</v>
      </c>
      <c r="H7" s="54" t="s">
        <v>92</v>
      </c>
      <c r="I7" s="39" t="s">
        <v>105</v>
      </c>
    </row>
    <row r="8" spans="1:9" ht="56.25" x14ac:dyDescent="0.25">
      <c r="A8" s="37" t="s">
        <v>47</v>
      </c>
      <c r="B8" s="48" t="s">
        <v>48</v>
      </c>
      <c r="C8" s="48" t="s">
        <v>48</v>
      </c>
      <c r="D8" s="48" t="s">
        <v>181</v>
      </c>
      <c r="E8" s="48" t="s">
        <v>102</v>
      </c>
      <c r="F8" s="49">
        <v>0</v>
      </c>
      <c r="G8" s="50">
        <v>46235</v>
      </c>
      <c r="H8" s="48" t="s">
        <v>92</v>
      </c>
      <c r="I8" s="37" t="s">
        <v>167</v>
      </c>
    </row>
    <row r="9" spans="1:9" ht="56.25" x14ac:dyDescent="0.25">
      <c r="A9" s="38" t="s">
        <v>47</v>
      </c>
      <c r="B9" s="51" t="s">
        <v>48</v>
      </c>
      <c r="C9" s="51" t="s">
        <v>168</v>
      </c>
      <c r="D9" s="57" t="s">
        <v>182</v>
      </c>
      <c r="E9" s="51" t="s">
        <v>71</v>
      </c>
      <c r="F9" s="52">
        <v>1</v>
      </c>
      <c r="G9" s="53">
        <v>46235</v>
      </c>
      <c r="H9" s="51"/>
      <c r="I9" s="38" t="s">
        <v>169</v>
      </c>
    </row>
    <row r="10" spans="1:9" ht="22.5" x14ac:dyDescent="0.25">
      <c r="A10" s="37" t="s">
        <v>49</v>
      </c>
      <c r="B10" s="48" t="s">
        <v>50</v>
      </c>
      <c r="C10" s="48" t="s">
        <v>50</v>
      </c>
      <c r="D10" s="48"/>
      <c r="E10" s="48" t="s">
        <v>102</v>
      </c>
      <c r="F10" s="49">
        <v>0</v>
      </c>
      <c r="G10" s="50">
        <v>46204</v>
      </c>
      <c r="H10" s="48" t="s">
        <v>92</v>
      </c>
      <c r="I10" s="37" t="s">
        <v>103</v>
      </c>
    </row>
    <row r="11" spans="1:9" ht="22.5" x14ac:dyDescent="0.25">
      <c r="A11" s="38" t="s">
        <v>49</v>
      </c>
      <c r="B11" s="51" t="s">
        <v>50</v>
      </c>
      <c r="C11" s="51" t="s">
        <v>73</v>
      </c>
      <c r="D11" s="57" t="s">
        <v>174</v>
      </c>
      <c r="E11" s="51" t="s">
        <v>71</v>
      </c>
      <c r="F11" s="52">
        <v>0.25</v>
      </c>
      <c r="G11" s="53">
        <v>46204</v>
      </c>
      <c r="H11" s="51" t="s">
        <v>92</v>
      </c>
      <c r="I11" s="38"/>
    </row>
    <row r="12" spans="1:9" ht="22.5" x14ac:dyDescent="0.25">
      <c r="A12" s="38" t="s">
        <v>49</v>
      </c>
      <c r="B12" s="51" t="s">
        <v>50</v>
      </c>
      <c r="C12" s="51" t="s">
        <v>74</v>
      </c>
      <c r="D12" s="57" t="s">
        <v>175</v>
      </c>
      <c r="E12" s="51" t="s">
        <v>71</v>
      </c>
      <c r="F12" s="52">
        <v>0.25</v>
      </c>
      <c r="G12" s="53">
        <v>46204</v>
      </c>
      <c r="H12" s="51" t="s">
        <v>92</v>
      </c>
      <c r="I12" s="38"/>
    </row>
    <row r="13" spans="1:9" ht="22.5" x14ac:dyDescent="0.25">
      <c r="A13" s="38" t="s">
        <v>49</v>
      </c>
      <c r="B13" s="51" t="s">
        <v>50</v>
      </c>
      <c r="C13" s="51" t="s">
        <v>75</v>
      </c>
      <c r="D13" s="57" t="s">
        <v>176</v>
      </c>
      <c r="E13" s="51" t="s">
        <v>71</v>
      </c>
      <c r="F13" s="52">
        <v>0.25</v>
      </c>
      <c r="G13" s="53">
        <v>46204</v>
      </c>
      <c r="H13" s="51" t="s">
        <v>92</v>
      </c>
      <c r="I13" s="38"/>
    </row>
    <row r="14" spans="1:9" ht="22.5" x14ac:dyDescent="0.25">
      <c r="A14" s="38" t="s">
        <v>49</v>
      </c>
      <c r="B14" s="51" t="s">
        <v>50</v>
      </c>
      <c r="C14" s="51" t="s">
        <v>76</v>
      </c>
      <c r="D14" s="57" t="s">
        <v>177</v>
      </c>
      <c r="E14" s="51" t="s">
        <v>71</v>
      </c>
      <c r="F14" s="52">
        <v>0.25</v>
      </c>
      <c r="G14" s="53">
        <v>46204</v>
      </c>
      <c r="H14" s="51" t="s">
        <v>92</v>
      </c>
      <c r="I14" s="38"/>
    </row>
    <row r="15" spans="1:9" ht="22.5" x14ac:dyDescent="0.25">
      <c r="A15" s="37" t="s">
        <v>41</v>
      </c>
      <c r="B15" s="48">
        <v>7031754431</v>
      </c>
      <c r="C15" s="48">
        <v>7031754431</v>
      </c>
      <c r="D15" s="48" t="s">
        <v>183</v>
      </c>
      <c r="E15" s="48" t="s">
        <v>102</v>
      </c>
      <c r="F15" s="49">
        <v>0</v>
      </c>
      <c r="G15" s="50">
        <v>46296</v>
      </c>
      <c r="H15" s="48" t="s">
        <v>92</v>
      </c>
      <c r="I15" s="37" t="s">
        <v>103</v>
      </c>
    </row>
    <row r="16" spans="1:9" ht="22.5" x14ac:dyDescent="0.25">
      <c r="A16" s="38" t="s">
        <v>41</v>
      </c>
      <c r="B16" s="51">
        <v>7031754431</v>
      </c>
      <c r="C16" s="51">
        <v>7027595701</v>
      </c>
      <c r="D16" s="51"/>
      <c r="E16" s="51" t="s">
        <v>71</v>
      </c>
      <c r="F16" s="52">
        <v>1</v>
      </c>
      <c r="G16" s="53">
        <v>46296</v>
      </c>
      <c r="H16" s="51" t="s">
        <v>92</v>
      </c>
      <c r="I16" s="38"/>
    </row>
    <row r="17" spans="1:9" x14ac:dyDescent="0.25">
      <c r="A17" s="14"/>
      <c r="B17" s="26"/>
      <c r="C17" s="58"/>
      <c r="D17" s="58"/>
      <c r="E17" s="58"/>
      <c r="F17" s="59"/>
      <c r="G17" s="60"/>
      <c r="H17" s="58"/>
      <c r="I17" s="14" t="s">
        <v>106</v>
      </c>
    </row>
    <row r="18" spans="1:9" x14ac:dyDescent="0.25">
      <c r="A18" s="14"/>
      <c r="B18" s="26"/>
      <c r="C18" s="58"/>
      <c r="D18" s="58"/>
      <c r="E18" s="58"/>
      <c r="F18" s="59"/>
      <c r="G18" s="60"/>
      <c r="H18" s="58"/>
      <c r="I18" s="14" t="s">
        <v>106</v>
      </c>
    </row>
    <row r="19" spans="1:9" x14ac:dyDescent="0.25">
      <c r="A19" s="14"/>
      <c r="B19" s="26"/>
      <c r="C19" s="58"/>
      <c r="D19" s="58"/>
      <c r="E19" s="58"/>
      <c r="F19" s="59"/>
      <c r="G19" s="60"/>
      <c r="H19" s="58"/>
      <c r="I19" s="14"/>
    </row>
    <row r="20" spans="1:9" x14ac:dyDescent="0.25">
      <c r="A20" s="14"/>
      <c r="B20" s="26"/>
      <c r="C20" s="58"/>
      <c r="D20" s="58"/>
      <c r="E20" s="58"/>
      <c r="F20" s="59"/>
      <c r="G20" s="60"/>
      <c r="H20" s="58"/>
      <c r="I20" s="14"/>
    </row>
    <row r="22" spans="1:9" x14ac:dyDescent="0.25">
      <c r="A22" s="61" t="s">
        <v>107</v>
      </c>
    </row>
    <row r="23" spans="1:9" x14ac:dyDescent="0.25">
      <c r="A23" s="89" t="s">
        <v>108</v>
      </c>
      <c r="B23" s="89"/>
      <c r="C23" s="89"/>
      <c r="D23" s="89"/>
      <c r="E23" s="89"/>
    </row>
    <row r="24" spans="1:9" x14ac:dyDescent="0.25">
      <c r="A24" s="90" t="s">
        <v>109</v>
      </c>
      <c r="B24" s="90"/>
      <c r="C24" s="90"/>
      <c r="D24" s="90"/>
      <c r="E24" s="90"/>
    </row>
    <row r="25" spans="1:9" x14ac:dyDescent="0.25">
      <c r="A25" s="91" t="s">
        <v>110</v>
      </c>
      <c r="B25" s="91"/>
      <c r="C25" s="91"/>
      <c r="D25" s="91"/>
      <c r="E25" s="91"/>
    </row>
    <row r="26" spans="1:9" x14ac:dyDescent="0.25">
      <c r="A26" s="87" t="s">
        <v>111</v>
      </c>
      <c r="B26" s="87"/>
      <c r="C26" s="87"/>
      <c r="D26" s="87"/>
      <c r="E26" s="87"/>
    </row>
  </sheetData>
  <autoFilter ref="A4:I20" xr:uid="{00000000-0001-0000-0300-000000000000}"/>
  <mergeCells count="6">
    <mergeCell ref="A26:E26"/>
    <mergeCell ref="A1:I1"/>
    <mergeCell ref="A2:I2"/>
    <mergeCell ref="A23:E23"/>
    <mergeCell ref="A24:E24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52"/>
  <sheetViews>
    <sheetView showGridLines="0" zoomScaleNormal="100" workbookViewId="0">
      <pane ySplit="4" topLeftCell="A33" activePane="bottomLeft" state="frozen"/>
      <selection pane="bottomLeft" activeCell="E49" sqref="E45:E49"/>
    </sheetView>
  </sheetViews>
  <sheetFormatPr defaultColWidth="8.7109375" defaultRowHeight="11.25" x14ac:dyDescent="0.2"/>
  <cols>
    <col min="1" max="1" width="36.85546875" style="33" bestFit="1" customWidth="1"/>
    <col min="2" max="2" width="12.5703125" style="33" bestFit="1" customWidth="1"/>
    <col min="3" max="3" width="12.5703125" style="33" customWidth="1"/>
    <col min="4" max="4" width="13.85546875" style="33" bestFit="1" customWidth="1"/>
    <col min="5" max="5" width="11.42578125" style="33" bestFit="1" customWidth="1"/>
    <col min="6" max="6" width="11.7109375" style="33" bestFit="1" customWidth="1"/>
    <col min="7" max="7" width="11.7109375" style="33" customWidth="1"/>
    <col min="8" max="8" width="13.7109375" style="33" customWidth="1"/>
    <col min="9" max="9" width="15.140625" style="33" bestFit="1" customWidth="1"/>
    <col min="10" max="10" width="13.5703125" style="33" bestFit="1" customWidth="1"/>
    <col min="11" max="11" width="12.140625" style="33" bestFit="1" customWidth="1"/>
    <col min="12" max="12" width="11.5703125" style="33" bestFit="1" customWidth="1"/>
    <col min="13" max="13" width="14.140625" style="33" bestFit="1" customWidth="1"/>
    <col min="14" max="14" width="16.42578125" style="33" customWidth="1"/>
    <col min="15" max="15" width="11.85546875" style="33" bestFit="1" customWidth="1"/>
    <col min="16" max="16" width="11.28515625" style="33" bestFit="1" customWidth="1"/>
    <col min="17" max="16384" width="8.7109375" style="33"/>
  </cols>
  <sheetData>
    <row r="1" spans="1:16" ht="21.75" customHeight="1" x14ac:dyDescent="0.25">
      <c r="A1" s="85" t="s">
        <v>112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16" ht="15.75" customHeight="1" x14ac:dyDescent="0.2">
      <c r="A2" s="81" t="s">
        <v>113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4" spans="1:16" ht="22.5" x14ac:dyDescent="0.2">
      <c r="A4" s="8" t="s">
        <v>64</v>
      </c>
      <c r="B4" s="8" t="s">
        <v>114</v>
      </c>
      <c r="C4" s="8" t="s">
        <v>170</v>
      </c>
      <c r="D4" s="8" t="s">
        <v>66</v>
      </c>
      <c r="E4" s="8" t="s">
        <v>84</v>
      </c>
      <c r="F4" s="8" t="s">
        <v>115</v>
      </c>
      <c r="G4" s="8" t="s">
        <v>164</v>
      </c>
      <c r="H4" s="8" t="s">
        <v>166</v>
      </c>
      <c r="I4" s="8" t="s">
        <v>116</v>
      </c>
      <c r="J4" s="8" t="s">
        <v>117</v>
      </c>
      <c r="K4" s="8" t="s">
        <v>118</v>
      </c>
      <c r="L4" s="8" t="s">
        <v>119</v>
      </c>
      <c r="M4" s="8" t="s">
        <v>120</v>
      </c>
      <c r="N4" s="8" t="s">
        <v>165</v>
      </c>
      <c r="O4" s="8" t="s">
        <v>121</v>
      </c>
      <c r="P4" s="8" t="s">
        <v>83</v>
      </c>
    </row>
    <row r="5" spans="1:16" ht="22.5" hidden="1" x14ac:dyDescent="0.2">
      <c r="A5" s="9" t="s">
        <v>41</v>
      </c>
      <c r="B5" s="11" t="s">
        <v>42</v>
      </c>
      <c r="C5" s="46" t="s">
        <v>171</v>
      </c>
      <c r="D5" s="11" t="s">
        <v>122</v>
      </c>
      <c r="E5" s="12">
        <v>46204</v>
      </c>
      <c r="F5" s="11" t="s">
        <v>123</v>
      </c>
      <c r="G5" s="13">
        <v>0</v>
      </c>
      <c r="H5" s="13">
        <v>0</v>
      </c>
      <c r="I5" s="13">
        <v>4</v>
      </c>
      <c r="J5" s="13">
        <v>338</v>
      </c>
      <c r="K5" s="13">
        <v>0</v>
      </c>
      <c r="L5" s="13">
        <v>0</v>
      </c>
      <c r="M5" s="13">
        <v>100</v>
      </c>
      <c r="N5" s="13">
        <v>0</v>
      </c>
      <c r="O5" s="13">
        <v>0</v>
      </c>
      <c r="P5" s="11" t="s">
        <v>92</v>
      </c>
    </row>
    <row r="6" spans="1:16" ht="22.5" hidden="1" x14ac:dyDescent="0.2">
      <c r="A6" s="9" t="s">
        <v>41</v>
      </c>
      <c r="B6" s="11" t="s">
        <v>42</v>
      </c>
      <c r="C6" s="46" t="s">
        <v>171</v>
      </c>
      <c r="D6" s="11" t="s">
        <v>122</v>
      </c>
      <c r="E6" s="12">
        <v>46174</v>
      </c>
      <c r="F6" s="11" t="s">
        <v>123</v>
      </c>
      <c r="G6" s="13">
        <v>0</v>
      </c>
      <c r="H6" s="13">
        <v>0</v>
      </c>
      <c r="I6" s="13">
        <v>6</v>
      </c>
      <c r="J6" s="13">
        <v>0</v>
      </c>
      <c r="K6" s="13">
        <v>0</v>
      </c>
      <c r="L6" s="13">
        <v>0</v>
      </c>
      <c r="M6" s="13">
        <v>6</v>
      </c>
      <c r="N6" s="13">
        <v>0</v>
      </c>
      <c r="O6" s="13">
        <v>0</v>
      </c>
      <c r="P6" s="11" t="s">
        <v>92</v>
      </c>
    </row>
    <row r="7" spans="1:16" ht="22.5" hidden="1" x14ac:dyDescent="0.2">
      <c r="A7" s="9" t="s">
        <v>41</v>
      </c>
      <c r="B7" s="11" t="s">
        <v>70</v>
      </c>
      <c r="C7" s="11"/>
      <c r="D7" s="11" t="s">
        <v>71</v>
      </c>
      <c r="E7" s="12">
        <v>45931</v>
      </c>
      <c r="F7" s="11" t="s">
        <v>123</v>
      </c>
      <c r="G7" s="13">
        <v>0</v>
      </c>
      <c r="H7" s="13">
        <v>0</v>
      </c>
      <c r="I7" s="13">
        <v>10248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1" t="s">
        <v>92</v>
      </c>
    </row>
    <row r="8" spans="1:16" hidden="1" x14ac:dyDescent="0.2">
      <c r="A8" s="9" t="s">
        <v>44</v>
      </c>
      <c r="B8" s="11" t="s">
        <v>45</v>
      </c>
      <c r="C8" s="46" t="s">
        <v>172</v>
      </c>
      <c r="D8" s="11" t="s">
        <v>124</v>
      </c>
      <c r="E8" s="12">
        <v>46204</v>
      </c>
      <c r="F8" s="11" t="s">
        <v>123</v>
      </c>
      <c r="G8" s="13">
        <v>0</v>
      </c>
      <c r="H8" s="13">
        <v>0</v>
      </c>
      <c r="I8" s="13">
        <v>0</v>
      </c>
      <c r="J8" s="13">
        <v>875</v>
      </c>
      <c r="K8" s="13">
        <v>875</v>
      </c>
      <c r="L8" s="13">
        <v>0</v>
      </c>
      <c r="M8" s="13">
        <v>100</v>
      </c>
      <c r="N8" s="13">
        <v>0</v>
      </c>
      <c r="O8" s="13">
        <v>875</v>
      </c>
      <c r="P8" s="11" t="s">
        <v>92</v>
      </c>
    </row>
    <row r="9" spans="1:16" hidden="1" x14ac:dyDescent="0.2">
      <c r="A9" s="9" t="s">
        <v>47</v>
      </c>
      <c r="B9" s="11" t="s">
        <v>48</v>
      </c>
      <c r="C9" s="46" t="s">
        <v>181</v>
      </c>
      <c r="D9" s="11" t="s">
        <v>124</v>
      </c>
      <c r="E9" s="12">
        <v>46204</v>
      </c>
      <c r="F9" s="11" t="s">
        <v>123</v>
      </c>
      <c r="G9" s="13">
        <v>0</v>
      </c>
      <c r="H9" s="13">
        <v>0</v>
      </c>
      <c r="I9" s="13">
        <v>0</v>
      </c>
      <c r="J9" s="13">
        <v>579</v>
      </c>
      <c r="K9" s="13">
        <v>579</v>
      </c>
      <c r="L9" s="13">
        <v>0</v>
      </c>
      <c r="M9" s="13">
        <v>100</v>
      </c>
      <c r="N9" s="13">
        <v>0</v>
      </c>
      <c r="O9" s="13">
        <v>579</v>
      </c>
      <c r="P9" s="11" t="s">
        <v>92</v>
      </c>
    </row>
    <row r="10" spans="1:16" ht="22.5" x14ac:dyDescent="0.2">
      <c r="A10" s="9" t="s">
        <v>49</v>
      </c>
      <c r="B10" s="11" t="s">
        <v>50</v>
      </c>
      <c r="C10" s="46" t="s">
        <v>173</v>
      </c>
      <c r="D10" s="11" t="s">
        <v>122</v>
      </c>
      <c r="E10" s="12">
        <v>46204</v>
      </c>
      <c r="F10" s="11" t="s">
        <v>123</v>
      </c>
      <c r="G10" s="13">
        <v>0</v>
      </c>
      <c r="H10" s="13">
        <v>0</v>
      </c>
      <c r="I10" s="13">
        <v>0</v>
      </c>
      <c r="J10" s="13">
        <v>608</v>
      </c>
      <c r="K10" s="13">
        <v>0</v>
      </c>
      <c r="L10" s="13">
        <v>0</v>
      </c>
      <c r="M10" s="13">
        <v>100</v>
      </c>
      <c r="N10" s="13">
        <v>0</v>
      </c>
      <c r="O10" s="13">
        <v>0</v>
      </c>
      <c r="P10" s="11" t="s">
        <v>92</v>
      </c>
    </row>
    <row r="11" spans="1:16" ht="22.5" x14ac:dyDescent="0.2">
      <c r="A11" s="9" t="s">
        <v>49</v>
      </c>
      <c r="B11" s="11" t="s">
        <v>73</v>
      </c>
      <c r="C11" s="46" t="s">
        <v>174</v>
      </c>
      <c r="D11" s="11" t="s">
        <v>71</v>
      </c>
      <c r="E11" s="12">
        <v>46174</v>
      </c>
      <c r="F11" s="11" t="s">
        <v>125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1" t="s">
        <v>92</v>
      </c>
    </row>
    <row r="12" spans="1:16" ht="22.5" x14ac:dyDescent="0.2">
      <c r="A12" s="9" t="s">
        <v>49</v>
      </c>
      <c r="B12" s="11" t="s">
        <v>74</v>
      </c>
      <c r="C12" s="46" t="s">
        <v>175</v>
      </c>
      <c r="D12" s="11" t="s">
        <v>71</v>
      </c>
      <c r="E12" s="12">
        <v>46174</v>
      </c>
      <c r="F12" s="11" t="s">
        <v>125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1" t="s">
        <v>92</v>
      </c>
    </row>
    <row r="13" spans="1:16" ht="22.5" x14ac:dyDescent="0.2">
      <c r="A13" s="9" t="s">
        <v>49</v>
      </c>
      <c r="B13" s="11" t="s">
        <v>75</v>
      </c>
      <c r="C13" s="46" t="s">
        <v>176</v>
      </c>
      <c r="D13" s="11" t="s">
        <v>71</v>
      </c>
      <c r="E13" s="12">
        <v>46174</v>
      </c>
      <c r="F13" s="11" t="s">
        <v>125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1" t="s">
        <v>92</v>
      </c>
    </row>
    <row r="14" spans="1:16" ht="22.5" x14ac:dyDescent="0.2">
      <c r="A14" s="9" t="s">
        <v>49</v>
      </c>
      <c r="B14" s="11" t="s">
        <v>76</v>
      </c>
      <c r="C14" s="46" t="s">
        <v>177</v>
      </c>
      <c r="D14" s="11" t="s">
        <v>71</v>
      </c>
      <c r="E14" s="12">
        <v>46174</v>
      </c>
      <c r="F14" s="11" t="s">
        <v>125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1" t="s">
        <v>92</v>
      </c>
    </row>
    <row r="15" spans="1:16" ht="22.5" hidden="1" x14ac:dyDescent="0.2">
      <c r="A15" s="9" t="s">
        <v>41</v>
      </c>
      <c r="B15" s="11" t="s">
        <v>42</v>
      </c>
      <c r="C15" s="46" t="s">
        <v>171</v>
      </c>
      <c r="D15" s="11" t="s">
        <v>122</v>
      </c>
      <c r="E15" s="12">
        <v>46235</v>
      </c>
      <c r="F15" s="11" t="s">
        <v>123</v>
      </c>
      <c r="G15" s="13">
        <v>0</v>
      </c>
      <c r="H15" s="13">
        <v>0</v>
      </c>
      <c r="I15" s="13">
        <v>11</v>
      </c>
      <c r="J15" s="13">
        <v>3425</v>
      </c>
      <c r="K15" s="13">
        <v>0</v>
      </c>
      <c r="L15" s="13">
        <v>0</v>
      </c>
      <c r="M15" s="13">
        <v>100</v>
      </c>
      <c r="N15" s="13">
        <v>0</v>
      </c>
      <c r="O15" s="13">
        <v>0</v>
      </c>
      <c r="P15" s="11" t="s">
        <v>92</v>
      </c>
    </row>
    <row r="16" spans="1:16" ht="22.5" hidden="1" x14ac:dyDescent="0.2">
      <c r="A16" s="9" t="s">
        <v>41</v>
      </c>
      <c r="B16" s="11" t="s">
        <v>70</v>
      </c>
      <c r="C16" s="11"/>
      <c r="D16" s="11" t="s">
        <v>71</v>
      </c>
      <c r="E16" s="12">
        <v>46204</v>
      </c>
      <c r="F16" s="11" t="s">
        <v>123</v>
      </c>
      <c r="G16" s="13">
        <v>0</v>
      </c>
      <c r="H16" s="13">
        <v>2483.1</v>
      </c>
      <c r="I16" s="13">
        <v>10732</v>
      </c>
      <c r="J16" s="13">
        <v>0</v>
      </c>
      <c r="K16" s="13">
        <v>338</v>
      </c>
      <c r="L16" s="13">
        <v>2821.1</v>
      </c>
      <c r="M16" s="13">
        <v>7910.9</v>
      </c>
      <c r="N16" s="13">
        <v>0</v>
      </c>
      <c r="O16" s="13">
        <v>0</v>
      </c>
      <c r="P16" s="11" t="s">
        <v>92</v>
      </c>
    </row>
    <row r="17" spans="1:16" hidden="1" x14ac:dyDescent="0.2">
      <c r="A17" s="9" t="s">
        <v>44</v>
      </c>
      <c r="B17" s="11" t="s">
        <v>45</v>
      </c>
      <c r="C17" s="46" t="s">
        <v>172</v>
      </c>
      <c r="D17" s="11" t="s">
        <v>124</v>
      </c>
      <c r="E17" s="12">
        <v>46235</v>
      </c>
      <c r="F17" s="11" t="s">
        <v>123</v>
      </c>
      <c r="G17" s="13">
        <v>875</v>
      </c>
      <c r="H17" s="13">
        <v>0</v>
      </c>
      <c r="I17" s="13">
        <v>1</v>
      </c>
      <c r="J17" s="13">
        <v>3585</v>
      </c>
      <c r="K17" s="13">
        <v>3585</v>
      </c>
      <c r="L17" s="13">
        <v>0</v>
      </c>
      <c r="M17" s="13">
        <v>100</v>
      </c>
      <c r="N17" s="13">
        <v>0</v>
      </c>
      <c r="O17" s="13">
        <v>4460</v>
      </c>
      <c r="P17" s="11" t="s">
        <v>92</v>
      </c>
    </row>
    <row r="18" spans="1:16" hidden="1" x14ac:dyDescent="0.2">
      <c r="A18" s="9" t="s">
        <v>47</v>
      </c>
      <c r="B18" s="11" t="s">
        <v>48</v>
      </c>
      <c r="C18" s="46" t="s">
        <v>181</v>
      </c>
      <c r="D18" s="11" t="s">
        <v>124</v>
      </c>
      <c r="E18" s="12">
        <v>46204</v>
      </c>
      <c r="F18" s="11" t="s">
        <v>123</v>
      </c>
      <c r="G18" s="13">
        <v>0</v>
      </c>
      <c r="H18" s="13">
        <v>0</v>
      </c>
      <c r="I18" s="13">
        <v>0</v>
      </c>
      <c r="J18" s="13">
        <v>579</v>
      </c>
      <c r="K18" s="13">
        <v>579</v>
      </c>
      <c r="L18" s="13">
        <v>0</v>
      </c>
      <c r="M18" s="13">
        <v>100</v>
      </c>
      <c r="N18" s="13">
        <v>0</v>
      </c>
      <c r="O18" s="13">
        <v>579</v>
      </c>
      <c r="P18" s="11" t="s">
        <v>92</v>
      </c>
    </row>
    <row r="19" spans="1:16" hidden="1" x14ac:dyDescent="0.2">
      <c r="A19" s="9" t="s">
        <v>47</v>
      </c>
      <c r="B19" s="11" t="s">
        <v>48</v>
      </c>
      <c r="C19" s="46" t="s">
        <v>181</v>
      </c>
      <c r="D19" s="11" t="s">
        <v>124</v>
      </c>
      <c r="E19" s="12">
        <v>46235</v>
      </c>
      <c r="F19" s="11" t="s">
        <v>123</v>
      </c>
      <c r="G19" s="13">
        <v>579</v>
      </c>
      <c r="H19" s="13">
        <v>0</v>
      </c>
      <c r="I19" s="13">
        <v>6</v>
      </c>
      <c r="J19" s="13">
        <v>3334</v>
      </c>
      <c r="K19" s="13">
        <v>0</v>
      </c>
      <c r="L19" s="13">
        <v>0</v>
      </c>
      <c r="M19" s="13">
        <v>100</v>
      </c>
      <c r="N19" s="13">
        <v>0</v>
      </c>
      <c r="O19" s="13">
        <v>579</v>
      </c>
      <c r="P19" s="11" t="s">
        <v>92</v>
      </c>
    </row>
    <row r="20" spans="1:16" ht="22.5" x14ac:dyDescent="0.2">
      <c r="A20" s="9" t="s">
        <v>49</v>
      </c>
      <c r="B20" s="11" t="s">
        <v>50</v>
      </c>
      <c r="C20" s="46" t="s">
        <v>173</v>
      </c>
      <c r="D20" s="11" t="s">
        <v>122</v>
      </c>
      <c r="E20" s="12">
        <v>46235</v>
      </c>
      <c r="F20" s="11" t="s">
        <v>123</v>
      </c>
      <c r="G20" s="13">
        <v>0</v>
      </c>
      <c r="H20" s="13">
        <v>0</v>
      </c>
      <c r="I20" s="13">
        <v>6</v>
      </c>
      <c r="J20" s="13">
        <v>3322</v>
      </c>
      <c r="K20" s="13">
        <v>0</v>
      </c>
      <c r="L20" s="13">
        <v>0</v>
      </c>
      <c r="M20" s="13">
        <v>100</v>
      </c>
      <c r="N20" s="13">
        <v>0</v>
      </c>
      <c r="O20" s="13">
        <v>0</v>
      </c>
      <c r="P20" s="11" t="s">
        <v>92</v>
      </c>
    </row>
    <row r="21" spans="1:16" ht="22.5" x14ac:dyDescent="0.2">
      <c r="A21" s="9" t="s">
        <v>49</v>
      </c>
      <c r="B21" s="11" t="s">
        <v>73</v>
      </c>
      <c r="C21" s="46" t="s">
        <v>174</v>
      </c>
      <c r="D21" s="11" t="s">
        <v>71</v>
      </c>
      <c r="E21" s="12">
        <v>46204</v>
      </c>
      <c r="F21" s="11" t="s">
        <v>123</v>
      </c>
      <c r="G21" s="13">
        <v>0</v>
      </c>
      <c r="H21" s="13">
        <v>0</v>
      </c>
      <c r="I21" s="13">
        <v>792</v>
      </c>
      <c r="J21" s="13">
        <v>0</v>
      </c>
      <c r="K21" s="13">
        <v>152</v>
      </c>
      <c r="L21" s="13">
        <v>152</v>
      </c>
      <c r="M21" s="13">
        <v>640</v>
      </c>
      <c r="N21" s="13">
        <v>0</v>
      </c>
      <c r="O21" s="13">
        <v>0</v>
      </c>
      <c r="P21" s="11" t="s">
        <v>92</v>
      </c>
    </row>
    <row r="22" spans="1:16" ht="22.5" x14ac:dyDescent="0.2">
      <c r="A22" s="9" t="s">
        <v>49</v>
      </c>
      <c r="B22" s="11" t="s">
        <v>74</v>
      </c>
      <c r="C22" s="46" t="s">
        <v>175</v>
      </c>
      <c r="D22" s="11" t="s">
        <v>71</v>
      </c>
      <c r="E22" s="12">
        <v>46204</v>
      </c>
      <c r="F22" s="11" t="s">
        <v>123</v>
      </c>
      <c r="G22" s="13">
        <v>0</v>
      </c>
      <c r="H22" s="13">
        <v>0</v>
      </c>
      <c r="I22" s="13">
        <v>518</v>
      </c>
      <c r="J22" s="13">
        <v>0</v>
      </c>
      <c r="K22" s="13">
        <v>152</v>
      </c>
      <c r="L22" s="13">
        <v>152</v>
      </c>
      <c r="M22" s="13">
        <v>366</v>
      </c>
      <c r="N22" s="13">
        <v>0</v>
      </c>
      <c r="O22" s="13">
        <v>0</v>
      </c>
      <c r="P22" s="11" t="s">
        <v>92</v>
      </c>
    </row>
    <row r="23" spans="1:16" ht="22.5" x14ac:dyDescent="0.2">
      <c r="A23" s="9" t="s">
        <v>49</v>
      </c>
      <c r="B23" s="11" t="s">
        <v>75</v>
      </c>
      <c r="C23" s="46" t="s">
        <v>176</v>
      </c>
      <c r="D23" s="11" t="s">
        <v>71</v>
      </c>
      <c r="E23" s="12">
        <v>46204</v>
      </c>
      <c r="F23" s="11" t="s">
        <v>123</v>
      </c>
      <c r="G23" s="13">
        <v>0</v>
      </c>
      <c r="H23" s="13">
        <v>0</v>
      </c>
      <c r="I23" s="13">
        <v>355</v>
      </c>
      <c r="J23" s="13">
        <v>0</v>
      </c>
      <c r="K23" s="13">
        <v>152</v>
      </c>
      <c r="L23" s="13">
        <v>152</v>
      </c>
      <c r="M23" s="13">
        <v>203</v>
      </c>
      <c r="N23" s="13">
        <v>0</v>
      </c>
      <c r="O23" s="13">
        <v>0</v>
      </c>
      <c r="P23" s="11" t="s">
        <v>92</v>
      </c>
    </row>
    <row r="24" spans="1:16" ht="22.5" x14ac:dyDescent="0.2">
      <c r="A24" s="9" t="s">
        <v>49</v>
      </c>
      <c r="B24" s="11" t="s">
        <v>76</v>
      </c>
      <c r="C24" s="46" t="s">
        <v>177</v>
      </c>
      <c r="D24" s="11" t="s">
        <v>71</v>
      </c>
      <c r="E24" s="12">
        <v>46204</v>
      </c>
      <c r="F24" s="11" t="s">
        <v>123</v>
      </c>
      <c r="G24" s="13">
        <v>0</v>
      </c>
      <c r="H24" s="13">
        <v>0</v>
      </c>
      <c r="I24" s="13">
        <v>585</v>
      </c>
      <c r="J24" s="13">
        <v>0</v>
      </c>
      <c r="K24" s="13">
        <v>152</v>
      </c>
      <c r="L24" s="13">
        <v>152</v>
      </c>
      <c r="M24" s="13">
        <v>433</v>
      </c>
      <c r="N24" s="13">
        <v>0</v>
      </c>
      <c r="O24" s="13">
        <v>0</v>
      </c>
      <c r="P24" s="11" t="s">
        <v>92</v>
      </c>
    </row>
    <row r="25" spans="1:16" ht="22.5" hidden="1" x14ac:dyDescent="0.2">
      <c r="A25" s="9" t="s">
        <v>41</v>
      </c>
      <c r="B25" s="11" t="s">
        <v>42</v>
      </c>
      <c r="C25" s="46" t="s">
        <v>171</v>
      </c>
      <c r="D25" s="11" t="s">
        <v>122</v>
      </c>
      <c r="E25" s="12">
        <v>46266</v>
      </c>
      <c r="F25" s="11" t="s">
        <v>123</v>
      </c>
      <c r="G25" s="13">
        <v>0</v>
      </c>
      <c r="H25" s="13">
        <v>0</v>
      </c>
      <c r="I25" s="13">
        <v>0</v>
      </c>
      <c r="J25" s="13">
        <v>4699</v>
      </c>
      <c r="K25" s="13">
        <v>0</v>
      </c>
      <c r="L25" s="13">
        <v>0</v>
      </c>
      <c r="M25" s="13">
        <v>100</v>
      </c>
      <c r="N25" s="13">
        <v>0</v>
      </c>
      <c r="O25" s="13">
        <v>0</v>
      </c>
      <c r="P25" s="11" t="s">
        <v>92</v>
      </c>
    </row>
    <row r="26" spans="1:16" ht="22.5" hidden="1" x14ac:dyDescent="0.2">
      <c r="A26" s="9" t="s">
        <v>41</v>
      </c>
      <c r="B26" s="11" t="s">
        <v>70</v>
      </c>
      <c r="C26" s="11"/>
      <c r="D26" s="11" t="s">
        <v>71</v>
      </c>
      <c r="E26" s="12">
        <v>46266</v>
      </c>
      <c r="F26" s="11" t="s">
        <v>123</v>
      </c>
      <c r="G26" s="13">
        <v>0</v>
      </c>
      <c r="H26" s="13">
        <v>2800.35</v>
      </c>
      <c r="I26" s="13">
        <v>13119</v>
      </c>
      <c r="J26" s="13">
        <v>0</v>
      </c>
      <c r="K26" s="13">
        <v>4699</v>
      </c>
      <c r="L26" s="13">
        <v>7499.35</v>
      </c>
      <c r="M26" s="13">
        <v>5619.65</v>
      </c>
      <c r="N26" s="13">
        <v>0</v>
      </c>
      <c r="O26" s="13">
        <v>0</v>
      </c>
      <c r="P26" s="11" t="s">
        <v>92</v>
      </c>
    </row>
    <row r="27" spans="1:16" hidden="1" x14ac:dyDescent="0.2">
      <c r="A27" s="9" t="s">
        <v>44</v>
      </c>
      <c r="B27" s="11" t="s">
        <v>45</v>
      </c>
      <c r="C27" s="46" t="s">
        <v>172</v>
      </c>
      <c r="D27" s="11" t="s">
        <v>124</v>
      </c>
      <c r="E27" s="12">
        <v>46266</v>
      </c>
      <c r="F27" s="11" t="s">
        <v>123</v>
      </c>
      <c r="G27" s="13">
        <v>4460</v>
      </c>
      <c r="H27" s="13">
        <v>0</v>
      </c>
      <c r="I27" s="13">
        <v>0</v>
      </c>
      <c r="J27" s="13">
        <v>4371</v>
      </c>
      <c r="K27" s="13">
        <v>4371</v>
      </c>
      <c r="L27" s="13">
        <v>0</v>
      </c>
      <c r="M27" s="13">
        <v>100</v>
      </c>
      <c r="N27" s="13">
        <v>0</v>
      </c>
      <c r="O27" s="13">
        <v>8831</v>
      </c>
      <c r="P27" s="11" t="s">
        <v>92</v>
      </c>
    </row>
    <row r="28" spans="1:16" ht="22.5" x14ac:dyDescent="0.2">
      <c r="A28" s="9" t="s">
        <v>49</v>
      </c>
      <c r="B28" s="11" t="s">
        <v>50</v>
      </c>
      <c r="C28" s="46" t="s">
        <v>173</v>
      </c>
      <c r="D28" s="11" t="s">
        <v>122</v>
      </c>
      <c r="E28" s="12">
        <v>46266</v>
      </c>
      <c r="F28" s="11" t="s">
        <v>123</v>
      </c>
      <c r="G28" s="13">
        <v>0</v>
      </c>
      <c r="H28" s="13">
        <v>0</v>
      </c>
      <c r="I28" s="13">
        <v>8</v>
      </c>
      <c r="J28" s="13">
        <v>5152</v>
      </c>
      <c r="K28" s="13">
        <v>0</v>
      </c>
      <c r="L28" s="13">
        <v>0</v>
      </c>
      <c r="M28" s="13">
        <v>100</v>
      </c>
      <c r="N28" s="13">
        <v>0</v>
      </c>
      <c r="O28" s="13">
        <v>0</v>
      </c>
      <c r="P28" s="11" t="s">
        <v>92</v>
      </c>
    </row>
    <row r="29" spans="1:16" ht="22.5" x14ac:dyDescent="0.2">
      <c r="A29" s="9" t="s">
        <v>49</v>
      </c>
      <c r="B29" s="11" t="s">
        <v>74</v>
      </c>
      <c r="C29" s="46" t="s">
        <v>175</v>
      </c>
      <c r="D29" s="11" t="s">
        <v>71</v>
      </c>
      <c r="E29" s="12">
        <v>46235</v>
      </c>
      <c r="F29" s="11" t="s">
        <v>123</v>
      </c>
      <c r="G29" s="13">
        <v>0</v>
      </c>
      <c r="H29" s="13">
        <v>0</v>
      </c>
      <c r="I29" s="13">
        <v>758</v>
      </c>
      <c r="J29" s="13">
        <v>0</v>
      </c>
      <c r="K29" s="13">
        <v>830.5</v>
      </c>
      <c r="L29" s="13">
        <v>758</v>
      </c>
      <c r="M29" s="13">
        <v>0</v>
      </c>
      <c r="N29" s="13">
        <v>0</v>
      </c>
      <c r="O29" s="13">
        <v>72.5</v>
      </c>
      <c r="P29" s="11" t="s">
        <v>92</v>
      </c>
    </row>
    <row r="30" spans="1:16" ht="22.5" x14ac:dyDescent="0.2">
      <c r="A30" s="9" t="s">
        <v>49</v>
      </c>
      <c r="B30" s="11" t="s">
        <v>74</v>
      </c>
      <c r="C30" s="46" t="s">
        <v>175</v>
      </c>
      <c r="D30" s="11" t="s">
        <v>71</v>
      </c>
      <c r="E30" s="12">
        <v>46266</v>
      </c>
      <c r="F30" s="11" t="s">
        <v>123</v>
      </c>
      <c r="G30" s="13">
        <v>72.5</v>
      </c>
      <c r="H30" s="13">
        <v>0</v>
      </c>
      <c r="I30" s="13">
        <v>1301</v>
      </c>
      <c r="J30" s="13">
        <v>0</v>
      </c>
      <c r="K30" s="13">
        <v>1288</v>
      </c>
      <c r="L30" s="13">
        <v>1301</v>
      </c>
      <c r="M30" s="13">
        <v>0</v>
      </c>
      <c r="N30" s="13">
        <v>0</v>
      </c>
      <c r="O30" s="13">
        <f>G30+K30-L30</f>
        <v>59.5</v>
      </c>
      <c r="P30" s="11" t="s">
        <v>92</v>
      </c>
    </row>
    <row r="31" spans="1:16" ht="22.5" x14ac:dyDescent="0.2">
      <c r="A31" s="9" t="s">
        <v>49</v>
      </c>
      <c r="B31" s="11" t="s">
        <v>73</v>
      </c>
      <c r="C31" s="46" t="s">
        <v>174</v>
      </c>
      <c r="D31" s="11" t="s">
        <v>71</v>
      </c>
      <c r="E31" s="12">
        <v>46235</v>
      </c>
      <c r="F31" s="11" t="s">
        <v>123</v>
      </c>
      <c r="G31" s="13">
        <v>0</v>
      </c>
      <c r="H31" s="13">
        <v>0</v>
      </c>
      <c r="I31" s="13">
        <v>1221</v>
      </c>
      <c r="J31" s="13">
        <v>0</v>
      </c>
      <c r="K31" s="13">
        <v>830.5</v>
      </c>
      <c r="L31" s="13">
        <v>830.5</v>
      </c>
      <c r="M31" s="13">
        <v>390.5</v>
      </c>
      <c r="N31" s="13">
        <v>0</v>
      </c>
      <c r="O31" s="13">
        <v>0</v>
      </c>
      <c r="P31" s="11" t="s">
        <v>92</v>
      </c>
    </row>
    <row r="32" spans="1:16" ht="22.5" x14ac:dyDescent="0.2">
      <c r="A32" s="9" t="s">
        <v>49</v>
      </c>
      <c r="B32" s="11" t="s">
        <v>73</v>
      </c>
      <c r="C32" s="46" t="s">
        <v>174</v>
      </c>
      <c r="D32" s="11" t="s">
        <v>71</v>
      </c>
      <c r="E32" s="12">
        <v>46266</v>
      </c>
      <c r="F32" s="11" t="s">
        <v>123</v>
      </c>
      <c r="G32" s="13">
        <v>0</v>
      </c>
      <c r="H32" s="13">
        <v>0</v>
      </c>
      <c r="I32" s="13">
        <v>972</v>
      </c>
      <c r="J32" s="13">
        <v>0</v>
      </c>
      <c r="K32" s="13">
        <v>1288</v>
      </c>
      <c r="L32" s="13">
        <v>972</v>
      </c>
      <c r="M32" s="13">
        <v>0</v>
      </c>
      <c r="N32" s="13">
        <v>0</v>
      </c>
      <c r="O32" s="13">
        <f>G32+K32-L32</f>
        <v>316</v>
      </c>
      <c r="P32" s="11" t="s">
        <v>92</v>
      </c>
    </row>
    <row r="33" spans="1:16" ht="22.5" x14ac:dyDescent="0.2">
      <c r="A33" s="9" t="s">
        <v>49</v>
      </c>
      <c r="B33" s="11" t="s">
        <v>75</v>
      </c>
      <c r="C33" s="46" t="s">
        <v>176</v>
      </c>
      <c r="D33" s="11" t="s">
        <v>71</v>
      </c>
      <c r="E33" s="12">
        <v>46235</v>
      </c>
      <c r="F33" s="11" t="s">
        <v>123</v>
      </c>
      <c r="G33" s="13">
        <v>0</v>
      </c>
      <c r="H33" s="13">
        <v>0</v>
      </c>
      <c r="I33" s="13">
        <v>1065</v>
      </c>
      <c r="J33" s="13">
        <v>0</v>
      </c>
      <c r="K33" s="13">
        <v>830.5</v>
      </c>
      <c r="L33" s="13">
        <v>830.5</v>
      </c>
      <c r="M33" s="13">
        <v>234.5</v>
      </c>
      <c r="N33" s="13">
        <v>0</v>
      </c>
      <c r="O33" s="13">
        <v>0</v>
      </c>
      <c r="P33" s="11" t="s">
        <v>92</v>
      </c>
    </row>
    <row r="34" spans="1:16" ht="22.5" x14ac:dyDescent="0.2">
      <c r="A34" s="9" t="s">
        <v>49</v>
      </c>
      <c r="B34" s="11" t="s">
        <v>75</v>
      </c>
      <c r="C34" s="46" t="s">
        <v>176</v>
      </c>
      <c r="D34" s="11" t="s">
        <v>71</v>
      </c>
      <c r="E34" s="12">
        <v>46266</v>
      </c>
      <c r="F34" s="11" t="s">
        <v>123</v>
      </c>
      <c r="G34" s="13">
        <v>0</v>
      </c>
      <c r="H34" s="13">
        <v>0</v>
      </c>
      <c r="I34" s="13">
        <v>966</v>
      </c>
      <c r="J34" s="13">
        <v>0</v>
      </c>
      <c r="K34" s="13">
        <v>1288</v>
      </c>
      <c r="L34" s="13">
        <v>966</v>
      </c>
      <c r="M34" s="13">
        <v>0</v>
      </c>
      <c r="N34" s="13">
        <v>0</v>
      </c>
      <c r="O34" s="13">
        <f>G34+K34-L34</f>
        <v>322</v>
      </c>
      <c r="P34" s="11" t="s">
        <v>92</v>
      </c>
    </row>
    <row r="35" spans="1:16" ht="22.5" x14ac:dyDescent="0.2">
      <c r="A35" s="9" t="s">
        <v>49</v>
      </c>
      <c r="B35" s="11" t="s">
        <v>76</v>
      </c>
      <c r="C35" s="46" t="s">
        <v>177</v>
      </c>
      <c r="D35" s="11" t="s">
        <v>71</v>
      </c>
      <c r="E35" s="12">
        <v>46235</v>
      </c>
      <c r="F35" s="11" t="s">
        <v>123</v>
      </c>
      <c r="G35" s="13">
        <v>0</v>
      </c>
      <c r="H35" s="13">
        <v>0</v>
      </c>
      <c r="I35" s="13">
        <v>684</v>
      </c>
      <c r="J35" s="13">
        <v>0</v>
      </c>
      <c r="K35" s="13">
        <v>830.5</v>
      </c>
      <c r="L35" s="13">
        <v>684</v>
      </c>
      <c r="M35" s="13">
        <v>0</v>
      </c>
      <c r="N35" s="13">
        <v>0</v>
      </c>
      <c r="O35" s="13">
        <f>G35+K35-L35</f>
        <v>146.5</v>
      </c>
      <c r="P35" s="11" t="s">
        <v>92</v>
      </c>
    </row>
    <row r="36" spans="1:16" ht="22.5" x14ac:dyDescent="0.2">
      <c r="A36" s="9" t="s">
        <v>49</v>
      </c>
      <c r="B36" s="11" t="s">
        <v>76</v>
      </c>
      <c r="C36" s="46" t="s">
        <v>177</v>
      </c>
      <c r="D36" s="11" t="s">
        <v>71</v>
      </c>
      <c r="E36" s="12">
        <v>46266</v>
      </c>
      <c r="F36" s="11" t="s">
        <v>123</v>
      </c>
      <c r="G36" s="13">
        <v>146.5</v>
      </c>
      <c r="H36" s="13">
        <v>0</v>
      </c>
      <c r="I36" s="13">
        <v>1008</v>
      </c>
      <c r="J36" s="13">
        <v>0</v>
      </c>
      <c r="K36" s="13">
        <v>1288</v>
      </c>
      <c r="L36" s="13">
        <v>1008</v>
      </c>
      <c r="M36" s="13">
        <v>0</v>
      </c>
      <c r="N36" s="13">
        <v>0</v>
      </c>
      <c r="O36" s="13">
        <f>G36+K36-L36</f>
        <v>426.5</v>
      </c>
      <c r="P36" s="11" t="s">
        <v>92</v>
      </c>
    </row>
    <row r="37" spans="1:16" hidden="1" x14ac:dyDescent="0.2">
      <c r="A37" s="9" t="s">
        <v>47</v>
      </c>
      <c r="B37" s="11" t="s">
        <v>48</v>
      </c>
      <c r="C37" s="46" t="s">
        <v>181</v>
      </c>
      <c r="D37" s="11" t="s">
        <v>124</v>
      </c>
      <c r="E37" s="12">
        <v>46266</v>
      </c>
      <c r="F37" s="11" t="s">
        <v>123</v>
      </c>
      <c r="G37" s="13">
        <v>579</v>
      </c>
      <c r="H37" s="13">
        <v>0</v>
      </c>
      <c r="I37" s="13">
        <v>0</v>
      </c>
      <c r="J37" s="13">
        <v>3223</v>
      </c>
      <c r="K37" s="13">
        <v>0</v>
      </c>
      <c r="L37" s="13">
        <v>0</v>
      </c>
      <c r="M37" s="13">
        <v>100</v>
      </c>
      <c r="N37" s="13">
        <v>0</v>
      </c>
      <c r="O37" s="13">
        <v>579</v>
      </c>
      <c r="P37" s="11" t="s">
        <v>92</v>
      </c>
    </row>
    <row r="38" spans="1:16" hidden="1" x14ac:dyDescent="0.2">
      <c r="A38" s="9" t="s">
        <v>47</v>
      </c>
      <c r="B38" s="11" t="s">
        <v>168</v>
      </c>
      <c r="C38" s="46" t="s">
        <v>182</v>
      </c>
      <c r="D38" s="11" t="s">
        <v>71</v>
      </c>
      <c r="E38" s="12">
        <v>46235</v>
      </c>
      <c r="F38" s="11" t="s">
        <v>123</v>
      </c>
      <c r="G38" s="13">
        <v>0</v>
      </c>
      <c r="H38" s="13">
        <v>0</v>
      </c>
      <c r="I38" s="13">
        <v>2552</v>
      </c>
      <c r="J38" s="13">
        <v>0</v>
      </c>
      <c r="K38" s="13">
        <v>3334</v>
      </c>
      <c r="L38" s="13">
        <v>2552</v>
      </c>
      <c r="M38" s="13">
        <v>0</v>
      </c>
      <c r="N38" s="13">
        <v>0</v>
      </c>
      <c r="O38" s="13">
        <f>K38-L38</f>
        <v>782</v>
      </c>
      <c r="P38" s="11" t="s">
        <v>92</v>
      </c>
    </row>
    <row r="39" spans="1:16" hidden="1" x14ac:dyDescent="0.2">
      <c r="A39" s="9" t="s">
        <v>47</v>
      </c>
      <c r="B39" s="11" t="s">
        <v>168</v>
      </c>
      <c r="C39" s="46" t="s">
        <v>182</v>
      </c>
      <c r="D39" s="11" t="s">
        <v>71</v>
      </c>
      <c r="E39" s="12">
        <v>46266</v>
      </c>
      <c r="F39" s="11" t="s">
        <v>123</v>
      </c>
      <c r="G39" s="13">
        <v>782</v>
      </c>
      <c r="H39" s="13">
        <v>0</v>
      </c>
      <c r="I39" s="13">
        <v>1951</v>
      </c>
      <c r="J39" s="13">
        <v>0</v>
      </c>
      <c r="K39" s="13">
        <v>3223</v>
      </c>
      <c r="L39" s="13">
        <v>1951</v>
      </c>
      <c r="M39" s="13">
        <v>0</v>
      </c>
      <c r="N39" s="13">
        <v>0</v>
      </c>
      <c r="O39" s="13">
        <f>G39+K39-L39</f>
        <v>2054</v>
      </c>
      <c r="P39" s="11" t="s">
        <v>92</v>
      </c>
    </row>
    <row r="40" spans="1:16" ht="22.5" hidden="1" x14ac:dyDescent="0.2">
      <c r="A40" s="9" t="s">
        <v>41</v>
      </c>
      <c r="B40" s="11" t="s">
        <v>42</v>
      </c>
      <c r="C40" s="46" t="s">
        <v>171</v>
      </c>
      <c r="D40" s="11" t="s">
        <v>122</v>
      </c>
      <c r="E40" s="12">
        <v>46296</v>
      </c>
      <c r="F40" s="11" t="s">
        <v>123</v>
      </c>
      <c r="G40" s="13">
        <v>0</v>
      </c>
      <c r="H40" s="13">
        <v>0</v>
      </c>
      <c r="I40" s="13">
        <v>4</v>
      </c>
      <c r="J40" s="13">
        <v>4368</v>
      </c>
      <c r="K40" s="13">
        <v>0</v>
      </c>
      <c r="L40" s="13">
        <v>0</v>
      </c>
      <c r="M40" s="13">
        <v>100</v>
      </c>
      <c r="N40" s="13">
        <v>0</v>
      </c>
      <c r="O40" s="13">
        <v>0</v>
      </c>
      <c r="P40" s="11" t="s">
        <v>92</v>
      </c>
    </row>
    <row r="41" spans="1:16" ht="22.5" hidden="1" x14ac:dyDescent="0.2">
      <c r="A41" s="9" t="s">
        <v>41</v>
      </c>
      <c r="B41" s="11" t="s">
        <v>70</v>
      </c>
      <c r="C41" s="11"/>
      <c r="D41" s="11" t="s">
        <v>71</v>
      </c>
      <c r="E41" s="12">
        <v>46296</v>
      </c>
      <c r="F41" s="11" t="s">
        <v>123</v>
      </c>
      <c r="G41" s="13">
        <v>0</v>
      </c>
      <c r="H41" s="13">
        <v>2800.35</v>
      </c>
      <c r="I41" s="13">
        <v>11238</v>
      </c>
      <c r="J41" s="13">
        <v>0</v>
      </c>
      <c r="K41" s="13">
        <v>4368</v>
      </c>
      <c r="L41" s="13">
        <v>7177.35</v>
      </c>
      <c r="M41" s="13">
        <f>I41-L41</f>
        <v>4060.6499999999996</v>
      </c>
      <c r="N41" s="13">
        <v>0</v>
      </c>
      <c r="O41" s="13">
        <v>0</v>
      </c>
      <c r="P41" s="11" t="s">
        <v>92</v>
      </c>
    </row>
    <row r="42" spans="1:16" ht="22.5" hidden="1" x14ac:dyDescent="0.2">
      <c r="A42" s="9" t="s">
        <v>41</v>
      </c>
      <c r="B42" s="11">
        <v>7031754431</v>
      </c>
      <c r="C42" s="46" t="s">
        <v>183</v>
      </c>
      <c r="D42" s="11" t="s">
        <v>122</v>
      </c>
      <c r="E42" s="12">
        <v>46296</v>
      </c>
      <c r="F42" s="11" t="s">
        <v>123</v>
      </c>
      <c r="G42" s="13">
        <v>0</v>
      </c>
      <c r="H42" s="13">
        <v>0</v>
      </c>
      <c r="I42" s="13">
        <v>6</v>
      </c>
      <c r="J42" s="13">
        <v>3633</v>
      </c>
      <c r="K42" s="13">
        <v>0</v>
      </c>
      <c r="L42" s="13">
        <v>0</v>
      </c>
      <c r="M42" s="13">
        <v>100</v>
      </c>
      <c r="N42" s="13">
        <v>0</v>
      </c>
      <c r="O42" s="13">
        <v>0</v>
      </c>
      <c r="P42" s="11" t="s">
        <v>92</v>
      </c>
    </row>
    <row r="43" spans="1:16" ht="22.5" hidden="1" x14ac:dyDescent="0.2">
      <c r="A43" s="9" t="s">
        <v>41</v>
      </c>
      <c r="B43" s="46" t="s">
        <v>184</v>
      </c>
      <c r="C43" s="11"/>
      <c r="D43" s="11" t="s">
        <v>71</v>
      </c>
      <c r="E43" s="12">
        <v>46296</v>
      </c>
      <c r="F43" s="11" t="s">
        <v>123</v>
      </c>
      <c r="G43" s="13">
        <v>5102</v>
      </c>
      <c r="H43" s="13">
        <v>7026</v>
      </c>
      <c r="I43" s="13">
        <v>7026</v>
      </c>
      <c r="J43" s="13">
        <v>0</v>
      </c>
      <c r="K43" s="13">
        <v>5267</v>
      </c>
      <c r="L43" s="13">
        <v>7026</v>
      </c>
      <c r="M43" s="13">
        <f>I43-L43</f>
        <v>0</v>
      </c>
      <c r="N43" s="13">
        <v>0</v>
      </c>
      <c r="O43" s="13">
        <v>0</v>
      </c>
      <c r="P43" s="11" t="s">
        <v>92</v>
      </c>
    </row>
    <row r="44" spans="1:16" hidden="1" x14ac:dyDescent="0.2">
      <c r="A44" s="9" t="s">
        <v>44</v>
      </c>
      <c r="B44" s="11" t="s">
        <v>45</v>
      </c>
      <c r="C44" s="46" t="s">
        <v>172</v>
      </c>
      <c r="D44" s="11" t="s">
        <v>124</v>
      </c>
      <c r="E44" s="12">
        <v>46296</v>
      </c>
      <c r="F44" s="11" t="s">
        <v>123</v>
      </c>
      <c r="G44" s="13">
        <v>8831</v>
      </c>
      <c r="H44" s="13">
        <v>0</v>
      </c>
      <c r="I44" s="13">
        <v>0</v>
      </c>
      <c r="J44" s="13">
        <v>6327</v>
      </c>
      <c r="K44" s="13">
        <v>6327</v>
      </c>
      <c r="L44" s="13">
        <v>0</v>
      </c>
      <c r="M44" s="13">
        <v>100</v>
      </c>
      <c r="N44" s="13">
        <v>0</v>
      </c>
      <c r="O44" s="13">
        <v>15158</v>
      </c>
      <c r="P44" s="11" t="s">
        <v>92</v>
      </c>
    </row>
    <row r="45" spans="1:16" ht="22.5" x14ac:dyDescent="0.2">
      <c r="A45" s="9" t="s">
        <v>49</v>
      </c>
      <c r="B45" s="11" t="s">
        <v>50</v>
      </c>
      <c r="C45" s="46" t="s">
        <v>173</v>
      </c>
      <c r="D45" s="11" t="s">
        <v>122</v>
      </c>
      <c r="E45" s="12">
        <v>46296</v>
      </c>
      <c r="F45" s="11" t="s">
        <v>123</v>
      </c>
      <c r="G45" s="13">
        <v>0</v>
      </c>
      <c r="H45" s="13">
        <v>0</v>
      </c>
      <c r="I45" s="13">
        <v>10</v>
      </c>
      <c r="J45" s="13">
        <v>10133</v>
      </c>
      <c r="K45" s="13">
        <v>0</v>
      </c>
      <c r="L45" s="13">
        <v>0</v>
      </c>
      <c r="M45" s="13">
        <v>100</v>
      </c>
      <c r="N45" s="13">
        <v>0</v>
      </c>
      <c r="O45" s="13">
        <v>0</v>
      </c>
      <c r="P45" s="11" t="s">
        <v>92</v>
      </c>
    </row>
    <row r="46" spans="1:16" ht="22.5" x14ac:dyDescent="0.2">
      <c r="A46" s="9" t="s">
        <v>49</v>
      </c>
      <c r="B46" s="11" t="s">
        <v>75</v>
      </c>
      <c r="C46" s="46" t="s">
        <v>176</v>
      </c>
      <c r="D46" s="11" t="s">
        <v>71</v>
      </c>
      <c r="E46" s="12">
        <v>46296</v>
      </c>
      <c r="F46" s="11" t="s">
        <v>123</v>
      </c>
      <c r="G46" s="13">
        <v>322</v>
      </c>
      <c r="H46" s="13">
        <v>0</v>
      </c>
      <c r="I46" s="13">
        <v>1063</v>
      </c>
      <c r="J46" s="13">
        <v>0</v>
      </c>
      <c r="K46" s="13">
        <v>2533.25</v>
      </c>
      <c r="L46" s="13">
        <v>1063</v>
      </c>
      <c r="M46" s="13">
        <v>0</v>
      </c>
      <c r="N46" s="13">
        <v>0</v>
      </c>
      <c r="O46" s="13">
        <f>G46+K46-L46</f>
        <v>1792.25</v>
      </c>
      <c r="P46" s="11" t="s">
        <v>92</v>
      </c>
    </row>
    <row r="47" spans="1:16" ht="22.5" x14ac:dyDescent="0.2">
      <c r="A47" s="9" t="s">
        <v>49</v>
      </c>
      <c r="B47" s="11" t="s">
        <v>74</v>
      </c>
      <c r="C47" s="46" t="s">
        <v>175</v>
      </c>
      <c r="D47" s="11" t="s">
        <v>71</v>
      </c>
      <c r="E47" s="12">
        <v>46296</v>
      </c>
      <c r="F47" s="11" t="s">
        <v>123</v>
      </c>
      <c r="G47" s="13">
        <v>59.5</v>
      </c>
      <c r="H47" s="13">
        <v>0</v>
      </c>
      <c r="I47" s="13">
        <v>736</v>
      </c>
      <c r="J47" s="13">
        <v>0</v>
      </c>
      <c r="K47" s="13">
        <v>2533.25</v>
      </c>
      <c r="L47" s="13">
        <v>736</v>
      </c>
      <c r="M47" s="13">
        <v>0</v>
      </c>
      <c r="N47" s="13">
        <v>0</v>
      </c>
      <c r="O47" s="13">
        <f>G47+K47-L47</f>
        <v>1856.75</v>
      </c>
      <c r="P47" s="11" t="s">
        <v>92</v>
      </c>
    </row>
    <row r="48" spans="1:16" ht="22.5" x14ac:dyDescent="0.2">
      <c r="A48" s="9" t="s">
        <v>49</v>
      </c>
      <c r="B48" s="11" t="s">
        <v>76</v>
      </c>
      <c r="C48" s="46" t="s">
        <v>177</v>
      </c>
      <c r="D48" s="11" t="s">
        <v>71</v>
      </c>
      <c r="E48" s="12">
        <v>46296</v>
      </c>
      <c r="F48" s="11" t="s">
        <v>123</v>
      </c>
      <c r="G48" s="13">
        <v>426.5</v>
      </c>
      <c r="H48" s="13">
        <v>0</v>
      </c>
      <c r="I48" s="13">
        <v>984</v>
      </c>
      <c r="J48" s="13">
        <v>0</v>
      </c>
      <c r="K48" s="13">
        <v>2533.25</v>
      </c>
      <c r="L48" s="13">
        <v>984</v>
      </c>
      <c r="M48" s="13">
        <v>0</v>
      </c>
      <c r="N48" s="13">
        <v>0</v>
      </c>
      <c r="O48" s="13">
        <f>G48+K48-L48</f>
        <v>1975.75</v>
      </c>
      <c r="P48" s="11" t="s">
        <v>92</v>
      </c>
    </row>
    <row r="49" spans="1:16" ht="22.5" x14ac:dyDescent="0.2">
      <c r="A49" s="9" t="s">
        <v>49</v>
      </c>
      <c r="B49" s="11" t="s">
        <v>73</v>
      </c>
      <c r="C49" s="46" t="s">
        <v>174</v>
      </c>
      <c r="D49" s="11" t="s">
        <v>71</v>
      </c>
      <c r="E49" s="12">
        <v>46296</v>
      </c>
      <c r="F49" s="11" t="s">
        <v>123</v>
      </c>
      <c r="G49" s="13">
        <v>316</v>
      </c>
      <c r="H49" s="13">
        <v>0</v>
      </c>
      <c r="I49" s="13">
        <v>690</v>
      </c>
      <c r="J49" s="13">
        <v>0</v>
      </c>
      <c r="K49" s="13">
        <v>2533.25</v>
      </c>
      <c r="L49" s="13">
        <v>690</v>
      </c>
      <c r="M49" s="13">
        <v>0</v>
      </c>
      <c r="N49" s="13">
        <v>0</v>
      </c>
      <c r="O49" s="13">
        <f>G49+K49-L49</f>
        <v>2159.25</v>
      </c>
      <c r="P49" s="11" t="s">
        <v>92</v>
      </c>
    </row>
    <row r="50" spans="1:16" x14ac:dyDescent="0.2">
      <c r="A50" s="9"/>
      <c r="B50" s="11"/>
      <c r="C50" s="11"/>
      <c r="D50" s="11"/>
      <c r="E50" s="12"/>
      <c r="F50" s="11"/>
      <c r="G50" s="13"/>
      <c r="H50" s="13"/>
      <c r="I50" s="13"/>
      <c r="J50" s="13"/>
      <c r="K50" s="13"/>
      <c r="L50" s="13"/>
      <c r="M50" s="13"/>
      <c r="N50" s="13"/>
      <c r="O50" s="13"/>
      <c r="P50" s="11"/>
    </row>
    <row r="52" spans="1:16" x14ac:dyDescent="0.2">
      <c r="A52" s="81" t="s">
        <v>126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</row>
  </sheetData>
  <autoFilter ref="A4:P49" xr:uid="{00000000-0001-0000-0400-000000000000}">
    <filterColumn colId="0">
      <filters>
        <filter val="SOMBRA FLORESTA EMPREENDIMENTOS IMOBILIARIOS LTDA"/>
      </filters>
    </filterColumn>
  </autoFilter>
  <mergeCells count="3">
    <mergeCell ref="A1:P1"/>
    <mergeCell ref="A2:P2"/>
    <mergeCell ref="A52:P5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showGridLines="0" zoomScaleNormal="100" workbookViewId="0">
      <selection activeCell="E28" sqref="E28"/>
    </sheetView>
  </sheetViews>
  <sheetFormatPr defaultColWidth="8.7109375" defaultRowHeight="11.25" x14ac:dyDescent="0.2"/>
  <cols>
    <col min="1" max="1" width="11.42578125" style="33" bestFit="1" customWidth="1"/>
    <col min="2" max="2" width="25.85546875" style="33" bestFit="1" customWidth="1"/>
    <col min="3" max="3" width="20.42578125" style="33" bestFit="1" customWidth="1"/>
    <col min="4" max="4" width="18.85546875" style="33" bestFit="1" customWidth="1"/>
    <col min="5" max="5" width="16.28515625" style="33" bestFit="1" customWidth="1"/>
    <col min="6" max="16384" width="8.7109375" style="33"/>
  </cols>
  <sheetData>
    <row r="1" spans="1:6" ht="16.5" x14ac:dyDescent="0.25">
      <c r="A1" s="80" t="s">
        <v>127</v>
      </c>
      <c r="B1" s="80"/>
      <c r="C1" s="80"/>
      <c r="D1" s="80"/>
      <c r="E1" s="80"/>
      <c r="F1" s="80"/>
    </row>
    <row r="2" spans="1:6" x14ac:dyDescent="0.2">
      <c r="A2" s="81" t="s">
        <v>128</v>
      </c>
      <c r="B2" s="81"/>
      <c r="C2" s="81"/>
      <c r="D2" s="81"/>
      <c r="E2" s="81"/>
      <c r="F2" s="81"/>
    </row>
    <row r="4" spans="1:6" x14ac:dyDescent="0.2">
      <c r="A4" s="8" t="s">
        <v>64</v>
      </c>
      <c r="B4" s="8">
        <v>7030102643</v>
      </c>
      <c r="C4" s="8">
        <v>7030869049</v>
      </c>
      <c r="D4" s="8">
        <v>7030869065</v>
      </c>
      <c r="E4" s="8">
        <v>7030869294</v>
      </c>
    </row>
    <row r="5" spans="1:6" x14ac:dyDescent="0.2">
      <c r="A5" s="8" t="s">
        <v>84</v>
      </c>
      <c r="B5" s="8" t="s">
        <v>141</v>
      </c>
      <c r="C5" s="8" t="s">
        <v>142</v>
      </c>
      <c r="D5" s="8" t="s">
        <v>143</v>
      </c>
      <c r="E5" s="8" t="s">
        <v>144</v>
      </c>
    </row>
    <row r="6" spans="1:6" x14ac:dyDescent="0.2">
      <c r="A6" s="12">
        <f>_xlfn.MINIFS('Resumo Usinas (Histórico)'!$H$5:$H$500,'Resumo Usinas (Histórico)'!$J$5:$J$500,"&lt;&gt;")</f>
        <v>46204</v>
      </c>
      <c r="B6" s="13">
        <f>IF(COUNTIFS('Resumo Usinas (Histórico)'!$C$5:$C$500,"7030102643",'Resumo Usinas (Histórico)'!$H$5:$H$500,A6)=0,"",SUMIFS('Resumo Usinas (Histórico)'!$L$5:$L$500,'Resumo Usinas (Histórico)'!$C$5:$C$500,"7030102643",'Resumo Usinas (Histórico)'!$H$5:$H$500,A6))</f>
        <v>338</v>
      </c>
      <c r="C6" s="13">
        <f>IF(COUNTIFS('Resumo Usinas (Histórico)'!$C$5:$C$500,"7030869049",'Resumo Usinas (Histórico)'!$H$5:$H$500,A6)=0,"",SUMIFS('Resumo Usinas (Histórico)'!$L$5:$L$500,'Resumo Usinas (Histórico)'!$C$5:$C$500,"7030869049",'Resumo Usinas (Histórico)'!$H$5:$H$500,A6))</f>
        <v>875</v>
      </c>
      <c r="D6" s="13">
        <f>IF(COUNTIFS('Resumo Usinas (Histórico)'!$C$5:$C$500,"7030869065",'Resumo Usinas (Histórico)'!$H$5:$H$500,A6)=0,"",SUMIFS('Resumo Usinas (Histórico)'!$L$5:$L$500,'Resumo Usinas (Histórico)'!$C$5:$C$500,"7030869065",'Resumo Usinas (Histórico)'!$H$5:$H$500,A6))</f>
        <v>579</v>
      </c>
      <c r="E6" s="13">
        <f>IF(COUNTIFS('Resumo Usinas (Histórico)'!$C$5:$C$500,"7030869294",'Resumo Usinas (Histórico)'!$H$5:$H$500,A6)=0,"",SUMIFS('Resumo Usinas (Histórico)'!$L$5:$L$500,'Resumo Usinas (Histórico)'!$C$5:$C$500,"7030869294",'Resumo Usinas (Histórico)'!$H$5:$H$500,A6))</f>
        <v>608</v>
      </c>
    </row>
    <row r="7" spans="1:6" x14ac:dyDescent="0.2">
      <c r="A7" s="12">
        <f t="shared" ref="A7:A41" si="0">EDATE(A6,1)</f>
        <v>46235</v>
      </c>
      <c r="B7" s="13">
        <f>IF(COUNTIFS('Resumo Usinas (Histórico)'!$C$5:$C$500,"7030102643",'Resumo Usinas (Histórico)'!$H$5:$H$500,A7)=0,"",SUMIFS('Resumo Usinas (Histórico)'!$L$5:$L$500,'Resumo Usinas (Histórico)'!$C$5:$C$500,"7030102643",'Resumo Usinas (Histórico)'!$H$5:$H$500,A7))</f>
        <v>338</v>
      </c>
      <c r="C7" s="13">
        <f>IF(COUNTIFS('Resumo Usinas (Histórico)'!$C$5:$C$500,"7030869049",'Resumo Usinas (Histórico)'!$H$5:$H$500,A7)=0,"",SUMIFS('Resumo Usinas (Histórico)'!$L$5:$L$500,'Resumo Usinas (Histórico)'!$C$5:$C$500,"7030869049",'Resumo Usinas (Histórico)'!$H$5:$H$500,A7))</f>
        <v>4460</v>
      </c>
      <c r="D7" s="13">
        <f>IF(COUNTIFS('Resumo Usinas (Histórico)'!$C$5:$C$500,"7030869065",'Resumo Usinas (Histórico)'!$H$5:$H$500,A7)=0,"",SUMIFS('Resumo Usinas (Histórico)'!$L$5:$L$500,'Resumo Usinas (Histórico)'!$C$5:$C$500,"7030869065",'Resumo Usinas (Histórico)'!$H$5:$H$500,A7))</f>
        <v>1361</v>
      </c>
      <c r="E7" s="13">
        <f>IF(COUNTIFS('Resumo Usinas (Histórico)'!$C$5:$C$500,"7030869294",'Resumo Usinas (Histórico)'!$H$5:$H$500,A7)=0,"",SUMIFS('Resumo Usinas (Histórico)'!$L$5:$L$500,'Resumo Usinas (Histórico)'!$C$5:$C$500,"7030869294",'Resumo Usinas (Histórico)'!$H$5:$H$500,A7))</f>
        <v>827</v>
      </c>
    </row>
    <row r="8" spans="1:6" x14ac:dyDescent="0.2">
      <c r="A8" s="12">
        <f t="shared" si="0"/>
        <v>46266</v>
      </c>
      <c r="B8" s="13">
        <f>IF(COUNTIFS('Resumo Usinas (Histórico)'!$C$5:$C$500,"7030102643",'Resumo Usinas (Histórico)'!$H$5:$H$500,A8)=0,"",SUMIFS('Resumo Usinas (Histórico)'!$L$5:$L$500,'Resumo Usinas (Histórico)'!$C$5:$C$500,"7030102643",'Resumo Usinas (Histórico)'!$H$5:$H$500,A8))</f>
        <v>338</v>
      </c>
      <c r="C8" s="13">
        <f>IF(COUNTIFS('Resumo Usinas (Histórico)'!$C$5:$C$500,"7030869049",'Resumo Usinas (Histórico)'!$H$5:$H$500,A8)=0,"",SUMIFS('Resumo Usinas (Histórico)'!$L$5:$L$500,'Resumo Usinas (Histórico)'!$C$5:$C$500,"7030869049",'Resumo Usinas (Histórico)'!$H$5:$H$500,A8))</f>
        <v>8831</v>
      </c>
      <c r="D8" s="13">
        <f>IF(COUNTIFS('Resumo Usinas (Histórico)'!$C$5:$C$500,"7030869065",'Resumo Usinas (Histórico)'!$H$5:$H$500,A8)=0,"",SUMIFS('Resumo Usinas (Histórico)'!$L$5:$L$500,'Resumo Usinas (Histórico)'!$C$5:$C$500,"7030869065",'Resumo Usinas (Histórico)'!$H$5:$H$500,A8))</f>
        <v>2633</v>
      </c>
      <c r="E8" s="13">
        <f>IF(COUNTIFS('Resumo Usinas (Histórico)'!$C$5:$C$500,"7030869294",'Resumo Usinas (Histórico)'!$H$5:$H$500,A8)=0,"",SUMIFS('Resumo Usinas (Histórico)'!$L$5:$L$500,'Resumo Usinas (Histórico)'!$C$5:$C$500,"7030869294",'Resumo Usinas (Histórico)'!$H$5:$H$500,A8))</f>
        <v>1732</v>
      </c>
    </row>
    <row r="9" spans="1:6" x14ac:dyDescent="0.2">
      <c r="A9" s="12">
        <f t="shared" si="0"/>
        <v>46296</v>
      </c>
      <c r="B9" s="13">
        <f>IF(COUNTIFS('Resumo Usinas (Histórico)'!$C$5:$C$500,"7030102643",'Resumo Usinas (Histórico)'!$H$5:$H$500,A9)=0,"",SUMIFS('Resumo Usinas (Histórico)'!$L$5:$L$500,'Resumo Usinas (Histórico)'!$C$5:$C$500,"7030102643",'Resumo Usinas (Histórico)'!$H$5:$H$500,A9))</f>
        <v>338</v>
      </c>
      <c r="C9" s="13">
        <f>IF(COUNTIFS('Resumo Usinas (Histórico)'!$C$5:$C$500,"7030869049",'Resumo Usinas (Histórico)'!$H$5:$H$500,A9)=0,"",SUMIFS('Resumo Usinas (Histórico)'!$L$5:$L$500,'Resumo Usinas (Histórico)'!$C$5:$C$500,"7030869049",'Resumo Usinas (Histórico)'!$H$5:$H$500,A9))</f>
        <v>15158</v>
      </c>
      <c r="D9" s="13" t="str">
        <f>IF(COUNTIFS('Resumo Usinas (Histórico)'!$C$5:$C$500,"7030869065",'Resumo Usinas (Histórico)'!$H$5:$H$500,A9)=0,"",SUMIFS('Resumo Usinas (Histórico)'!$L$5:$L$500,'Resumo Usinas (Histórico)'!$C$5:$C$500,"7030869065",'Resumo Usinas (Histórico)'!$H$5:$H$500,A9))</f>
        <v/>
      </c>
      <c r="E9" s="13">
        <f>IF(COUNTIFS('Resumo Usinas (Histórico)'!$C$5:$C$500,"7030869294",'Resumo Usinas (Histórico)'!$H$5:$H$500,A9)=0,"",SUMIFS('Resumo Usinas (Histórico)'!$L$5:$L$500,'Resumo Usinas (Histórico)'!$C$5:$C$500,"7030869294",'Resumo Usinas (Histórico)'!$H$5:$H$500,A9))</f>
        <v>8392</v>
      </c>
    </row>
    <row r="10" spans="1:6" x14ac:dyDescent="0.2">
      <c r="A10" s="12">
        <f t="shared" si="0"/>
        <v>46327</v>
      </c>
      <c r="B10" s="13" t="str">
        <f>IF(COUNTIFS('Resumo Usinas (Histórico)'!$C$5:$C$500,"7030102643",'Resumo Usinas (Histórico)'!$H$5:$H$500,A10)=0,"",SUMIFS('Resumo Usinas (Histórico)'!$L$5:$L$500,'Resumo Usinas (Histórico)'!$C$5:$C$500,"7030102643",'Resumo Usinas (Histórico)'!$H$5:$H$500,A10))</f>
        <v/>
      </c>
      <c r="C10" s="13" t="str">
        <f>IF(COUNTIFS('Resumo Usinas (Histórico)'!$C$5:$C$500,"7030869049",'Resumo Usinas (Histórico)'!$H$5:$H$500,A10)=0,"",SUMIFS('Resumo Usinas (Histórico)'!$L$5:$L$500,'Resumo Usinas (Histórico)'!$C$5:$C$500,"7030869049",'Resumo Usinas (Histórico)'!$H$5:$H$500,A10))</f>
        <v/>
      </c>
      <c r="D10" s="13" t="str">
        <f>IF(COUNTIFS('Resumo Usinas (Histórico)'!$C$5:$C$500,"7030869065",'Resumo Usinas (Histórico)'!$H$5:$H$500,A10)=0,"",SUMIFS('Resumo Usinas (Histórico)'!$L$5:$L$500,'Resumo Usinas (Histórico)'!$C$5:$C$500,"7030869065",'Resumo Usinas (Histórico)'!$H$5:$H$500,A10))</f>
        <v/>
      </c>
      <c r="E10" s="13" t="str">
        <f>IF(COUNTIFS('Resumo Usinas (Histórico)'!$C$5:$C$500,"7030869294",'Resumo Usinas (Histórico)'!$H$5:$H$500,A10)=0,"",SUMIFS('Resumo Usinas (Histórico)'!$L$5:$L$500,'Resumo Usinas (Histórico)'!$C$5:$C$500,"7030869294",'Resumo Usinas (Histórico)'!$H$5:$H$500,A10))</f>
        <v/>
      </c>
    </row>
    <row r="11" spans="1:6" x14ac:dyDescent="0.2">
      <c r="A11" s="12">
        <f t="shared" si="0"/>
        <v>46357</v>
      </c>
      <c r="B11" s="13" t="str">
        <f>IF(COUNTIFS('Resumo Usinas (Histórico)'!$C$5:$C$500,"7030102643",'Resumo Usinas (Histórico)'!$H$5:$H$500,A11)=0,"",SUMIFS('Resumo Usinas (Histórico)'!$L$5:$L$500,'Resumo Usinas (Histórico)'!$C$5:$C$500,"7030102643",'Resumo Usinas (Histórico)'!$H$5:$H$500,A11))</f>
        <v/>
      </c>
      <c r="C11" s="13" t="str">
        <f>IF(COUNTIFS('Resumo Usinas (Histórico)'!$C$5:$C$500,"7030869049",'Resumo Usinas (Histórico)'!$H$5:$H$500,A11)=0,"",SUMIFS('Resumo Usinas (Histórico)'!$L$5:$L$500,'Resumo Usinas (Histórico)'!$C$5:$C$500,"7030869049",'Resumo Usinas (Histórico)'!$H$5:$H$500,A11))</f>
        <v/>
      </c>
      <c r="D11" s="13" t="str">
        <f>IF(COUNTIFS('Resumo Usinas (Histórico)'!$C$5:$C$500,"7030869065",'Resumo Usinas (Histórico)'!$H$5:$H$500,A11)=0,"",SUMIFS('Resumo Usinas (Histórico)'!$L$5:$L$500,'Resumo Usinas (Histórico)'!$C$5:$C$500,"7030869065",'Resumo Usinas (Histórico)'!$H$5:$H$500,A11))</f>
        <v/>
      </c>
      <c r="E11" s="13" t="str">
        <f>IF(COUNTIFS('Resumo Usinas (Histórico)'!$C$5:$C$500,"7030869294",'Resumo Usinas (Histórico)'!$H$5:$H$500,A11)=0,"",SUMIFS('Resumo Usinas (Histórico)'!$L$5:$L$500,'Resumo Usinas (Histórico)'!$C$5:$C$500,"7030869294",'Resumo Usinas (Histórico)'!$H$5:$H$500,A11))</f>
        <v/>
      </c>
    </row>
    <row r="12" spans="1:6" x14ac:dyDescent="0.2">
      <c r="A12" s="12">
        <f t="shared" si="0"/>
        <v>46388</v>
      </c>
      <c r="B12" s="13" t="str">
        <f>IF(COUNTIFS('Resumo Usinas (Histórico)'!$C$5:$C$500,"7030102643",'Resumo Usinas (Histórico)'!$H$5:$H$500,A12)=0,"",SUMIFS('Resumo Usinas (Histórico)'!$L$5:$L$500,'Resumo Usinas (Histórico)'!$C$5:$C$500,"7030102643",'Resumo Usinas (Histórico)'!$H$5:$H$500,A12))</f>
        <v/>
      </c>
      <c r="C12" s="13" t="str">
        <f>IF(COUNTIFS('Resumo Usinas (Histórico)'!$C$5:$C$500,"7030869049",'Resumo Usinas (Histórico)'!$H$5:$H$500,A12)=0,"",SUMIFS('Resumo Usinas (Histórico)'!$L$5:$L$500,'Resumo Usinas (Histórico)'!$C$5:$C$500,"7030869049",'Resumo Usinas (Histórico)'!$H$5:$H$500,A12))</f>
        <v/>
      </c>
      <c r="D12" s="13" t="str">
        <f>IF(COUNTIFS('Resumo Usinas (Histórico)'!$C$5:$C$500,"7030869065",'Resumo Usinas (Histórico)'!$H$5:$H$500,A12)=0,"",SUMIFS('Resumo Usinas (Histórico)'!$L$5:$L$500,'Resumo Usinas (Histórico)'!$C$5:$C$500,"7030869065",'Resumo Usinas (Histórico)'!$H$5:$H$500,A12))</f>
        <v/>
      </c>
      <c r="E12" s="13" t="str">
        <f>IF(COUNTIFS('Resumo Usinas (Histórico)'!$C$5:$C$500,"7030869294",'Resumo Usinas (Histórico)'!$H$5:$H$500,A12)=0,"",SUMIFS('Resumo Usinas (Histórico)'!$L$5:$L$500,'Resumo Usinas (Histórico)'!$C$5:$C$500,"7030869294",'Resumo Usinas (Histórico)'!$H$5:$H$500,A12))</f>
        <v/>
      </c>
    </row>
    <row r="13" spans="1:6" x14ac:dyDescent="0.2">
      <c r="A13" s="12">
        <f t="shared" si="0"/>
        <v>46419</v>
      </c>
      <c r="B13" s="13" t="str">
        <f>IF(COUNTIFS('Resumo Usinas (Histórico)'!$C$5:$C$500,"7030102643",'Resumo Usinas (Histórico)'!$H$5:$H$500,A13)=0,"",SUMIFS('Resumo Usinas (Histórico)'!$L$5:$L$500,'Resumo Usinas (Histórico)'!$C$5:$C$500,"7030102643",'Resumo Usinas (Histórico)'!$H$5:$H$500,A13))</f>
        <v/>
      </c>
      <c r="C13" s="13" t="str">
        <f>IF(COUNTIFS('Resumo Usinas (Histórico)'!$C$5:$C$500,"7030869049",'Resumo Usinas (Histórico)'!$H$5:$H$500,A13)=0,"",SUMIFS('Resumo Usinas (Histórico)'!$L$5:$L$500,'Resumo Usinas (Histórico)'!$C$5:$C$500,"7030869049",'Resumo Usinas (Histórico)'!$H$5:$H$500,A13))</f>
        <v/>
      </c>
      <c r="D13" s="13" t="str">
        <f>IF(COUNTIFS('Resumo Usinas (Histórico)'!$C$5:$C$500,"7030869065",'Resumo Usinas (Histórico)'!$H$5:$H$500,A13)=0,"",SUMIFS('Resumo Usinas (Histórico)'!$L$5:$L$500,'Resumo Usinas (Histórico)'!$C$5:$C$500,"7030869065",'Resumo Usinas (Histórico)'!$H$5:$H$500,A13))</f>
        <v/>
      </c>
      <c r="E13" s="13" t="str">
        <f>IF(COUNTIFS('Resumo Usinas (Histórico)'!$C$5:$C$500,"7030869294",'Resumo Usinas (Histórico)'!$H$5:$H$500,A13)=0,"",SUMIFS('Resumo Usinas (Histórico)'!$L$5:$L$500,'Resumo Usinas (Histórico)'!$C$5:$C$500,"7030869294",'Resumo Usinas (Histórico)'!$H$5:$H$500,A13))</f>
        <v/>
      </c>
    </row>
    <row r="14" spans="1:6" x14ac:dyDescent="0.2">
      <c r="A14" s="12">
        <f t="shared" si="0"/>
        <v>46447</v>
      </c>
      <c r="B14" s="13" t="str">
        <f>IF(COUNTIFS('Resumo Usinas (Histórico)'!$C$5:$C$500,"7030102643",'Resumo Usinas (Histórico)'!$H$5:$H$500,A14)=0,"",SUMIFS('Resumo Usinas (Histórico)'!$L$5:$L$500,'Resumo Usinas (Histórico)'!$C$5:$C$500,"7030102643",'Resumo Usinas (Histórico)'!$H$5:$H$500,A14))</f>
        <v/>
      </c>
      <c r="C14" s="13" t="str">
        <f>IF(COUNTIFS('Resumo Usinas (Histórico)'!$C$5:$C$500,"7030869049",'Resumo Usinas (Histórico)'!$H$5:$H$500,A14)=0,"",SUMIFS('Resumo Usinas (Histórico)'!$L$5:$L$500,'Resumo Usinas (Histórico)'!$C$5:$C$500,"7030869049",'Resumo Usinas (Histórico)'!$H$5:$H$500,A14))</f>
        <v/>
      </c>
      <c r="D14" s="13" t="str">
        <f>IF(COUNTIFS('Resumo Usinas (Histórico)'!$C$5:$C$500,"7030869065",'Resumo Usinas (Histórico)'!$H$5:$H$500,A14)=0,"",SUMIFS('Resumo Usinas (Histórico)'!$L$5:$L$500,'Resumo Usinas (Histórico)'!$C$5:$C$500,"7030869065",'Resumo Usinas (Histórico)'!$H$5:$H$500,A14))</f>
        <v/>
      </c>
      <c r="E14" s="13" t="str">
        <f>IF(COUNTIFS('Resumo Usinas (Histórico)'!$C$5:$C$500,"7030869294",'Resumo Usinas (Histórico)'!$H$5:$H$500,A14)=0,"",SUMIFS('Resumo Usinas (Histórico)'!$L$5:$L$500,'Resumo Usinas (Histórico)'!$C$5:$C$500,"7030869294",'Resumo Usinas (Histórico)'!$H$5:$H$500,A14))</f>
        <v/>
      </c>
    </row>
    <row r="15" spans="1:6" x14ac:dyDescent="0.2">
      <c r="A15" s="12">
        <f t="shared" si="0"/>
        <v>46478</v>
      </c>
      <c r="B15" s="13" t="str">
        <f>IF(COUNTIFS('Resumo Usinas (Histórico)'!$C$5:$C$500,"7030102643",'Resumo Usinas (Histórico)'!$H$5:$H$500,A15)=0,"",SUMIFS('Resumo Usinas (Histórico)'!$L$5:$L$500,'Resumo Usinas (Histórico)'!$C$5:$C$500,"7030102643",'Resumo Usinas (Histórico)'!$H$5:$H$500,A15))</f>
        <v/>
      </c>
      <c r="C15" s="13" t="str">
        <f>IF(COUNTIFS('Resumo Usinas (Histórico)'!$C$5:$C$500,"7030869049",'Resumo Usinas (Histórico)'!$H$5:$H$500,A15)=0,"",SUMIFS('Resumo Usinas (Histórico)'!$L$5:$L$500,'Resumo Usinas (Histórico)'!$C$5:$C$500,"7030869049",'Resumo Usinas (Histórico)'!$H$5:$H$500,A15))</f>
        <v/>
      </c>
      <c r="D15" s="13" t="str">
        <f>IF(COUNTIFS('Resumo Usinas (Histórico)'!$C$5:$C$500,"7030869065",'Resumo Usinas (Histórico)'!$H$5:$H$500,A15)=0,"",SUMIFS('Resumo Usinas (Histórico)'!$L$5:$L$500,'Resumo Usinas (Histórico)'!$C$5:$C$500,"7030869065",'Resumo Usinas (Histórico)'!$H$5:$H$500,A15))</f>
        <v/>
      </c>
      <c r="E15" s="13" t="str">
        <f>IF(COUNTIFS('Resumo Usinas (Histórico)'!$C$5:$C$500,"7030869294",'Resumo Usinas (Histórico)'!$H$5:$H$500,A15)=0,"",SUMIFS('Resumo Usinas (Histórico)'!$L$5:$L$500,'Resumo Usinas (Histórico)'!$C$5:$C$500,"7030869294",'Resumo Usinas (Histórico)'!$H$5:$H$500,A15))</f>
        <v/>
      </c>
    </row>
    <row r="16" spans="1:6" x14ac:dyDescent="0.2">
      <c r="A16" s="12">
        <f t="shared" si="0"/>
        <v>46508</v>
      </c>
      <c r="B16" s="13" t="str">
        <f>IF(COUNTIFS('Resumo Usinas (Histórico)'!$C$5:$C$500,"7030102643",'Resumo Usinas (Histórico)'!$H$5:$H$500,A16)=0,"",SUMIFS('Resumo Usinas (Histórico)'!$L$5:$L$500,'Resumo Usinas (Histórico)'!$C$5:$C$500,"7030102643",'Resumo Usinas (Histórico)'!$H$5:$H$500,A16))</f>
        <v/>
      </c>
      <c r="C16" s="13" t="str">
        <f>IF(COUNTIFS('Resumo Usinas (Histórico)'!$C$5:$C$500,"7030869049",'Resumo Usinas (Histórico)'!$H$5:$H$500,A16)=0,"",SUMIFS('Resumo Usinas (Histórico)'!$L$5:$L$500,'Resumo Usinas (Histórico)'!$C$5:$C$500,"7030869049",'Resumo Usinas (Histórico)'!$H$5:$H$500,A16))</f>
        <v/>
      </c>
      <c r="D16" s="13" t="str">
        <f>IF(COUNTIFS('Resumo Usinas (Histórico)'!$C$5:$C$500,"7030869065",'Resumo Usinas (Histórico)'!$H$5:$H$500,A16)=0,"",SUMIFS('Resumo Usinas (Histórico)'!$L$5:$L$500,'Resumo Usinas (Histórico)'!$C$5:$C$500,"7030869065",'Resumo Usinas (Histórico)'!$H$5:$H$500,A16))</f>
        <v/>
      </c>
      <c r="E16" s="13" t="str">
        <f>IF(COUNTIFS('Resumo Usinas (Histórico)'!$C$5:$C$500,"7030869294",'Resumo Usinas (Histórico)'!$H$5:$H$500,A16)=0,"",SUMIFS('Resumo Usinas (Histórico)'!$L$5:$L$500,'Resumo Usinas (Histórico)'!$C$5:$C$500,"7030869294",'Resumo Usinas (Histórico)'!$H$5:$H$500,A16))</f>
        <v/>
      </c>
    </row>
    <row r="17" spans="1:5" x14ac:dyDescent="0.2">
      <c r="A17" s="12">
        <f t="shared" si="0"/>
        <v>46539</v>
      </c>
      <c r="B17" s="13" t="str">
        <f>IF(COUNTIFS('Resumo Usinas (Histórico)'!$C$5:$C$500,"7030102643",'Resumo Usinas (Histórico)'!$H$5:$H$500,A17)=0,"",SUMIFS('Resumo Usinas (Histórico)'!$L$5:$L$500,'Resumo Usinas (Histórico)'!$C$5:$C$500,"7030102643",'Resumo Usinas (Histórico)'!$H$5:$H$500,A17))</f>
        <v/>
      </c>
      <c r="C17" s="13" t="str">
        <f>IF(COUNTIFS('Resumo Usinas (Histórico)'!$C$5:$C$500,"7030869049",'Resumo Usinas (Histórico)'!$H$5:$H$500,A17)=0,"",SUMIFS('Resumo Usinas (Histórico)'!$L$5:$L$500,'Resumo Usinas (Histórico)'!$C$5:$C$500,"7030869049",'Resumo Usinas (Histórico)'!$H$5:$H$500,A17))</f>
        <v/>
      </c>
      <c r="D17" s="13" t="str">
        <f>IF(COUNTIFS('Resumo Usinas (Histórico)'!$C$5:$C$500,"7030869065",'Resumo Usinas (Histórico)'!$H$5:$H$500,A17)=0,"",SUMIFS('Resumo Usinas (Histórico)'!$L$5:$L$500,'Resumo Usinas (Histórico)'!$C$5:$C$500,"7030869065",'Resumo Usinas (Histórico)'!$H$5:$H$500,A17))</f>
        <v/>
      </c>
      <c r="E17" s="13" t="str">
        <f>IF(COUNTIFS('Resumo Usinas (Histórico)'!$C$5:$C$500,"7030869294",'Resumo Usinas (Histórico)'!$H$5:$H$500,A17)=0,"",SUMIFS('Resumo Usinas (Histórico)'!$L$5:$L$500,'Resumo Usinas (Histórico)'!$C$5:$C$500,"7030869294",'Resumo Usinas (Histórico)'!$H$5:$H$500,A17))</f>
        <v/>
      </c>
    </row>
    <row r="18" spans="1:5" x14ac:dyDescent="0.2">
      <c r="A18" s="12">
        <f t="shared" si="0"/>
        <v>46569</v>
      </c>
      <c r="B18" s="13" t="str">
        <f>IF(COUNTIFS('Resumo Usinas (Histórico)'!$C$5:$C$500,"7030102643",'Resumo Usinas (Histórico)'!$H$5:$H$500,A18)=0,"",SUMIFS('Resumo Usinas (Histórico)'!$L$5:$L$500,'Resumo Usinas (Histórico)'!$C$5:$C$500,"7030102643",'Resumo Usinas (Histórico)'!$H$5:$H$500,A18))</f>
        <v/>
      </c>
      <c r="C18" s="13" t="str">
        <f>IF(COUNTIFS('Resumo Usinas (Histórico)'!$C$5:$C$500,"7030869049",'Resumo Usinas (Histórico)'!$H$5:$H$500,A18)=0,"",SUMIFS('Resumo Usinas (Histórico)'!$L$5:$L$500,'Resumo Usinas (Histórico)'!$C$5:$C$500,"7030869049",'Resumo Usinas (Histórico)'!$H$5:$H$500,A18))</f>
        <v/>
      </c>
      <c r="D18" s="13" t="str">
        <f>IF(COUNTIFS('Resumo Usinas (Histórico)'!$C$5:$C$500,"7030869065",'Resumo Usinas (Histórico)'!$H$5:$H$500,A18)=0,"",SUMIFS('Resumo Usinas (Histórico)'!$L$5:$L$500,'Resumo Usinas (Histórico)'!$C$5:$C$500,"7030869065",'Resumo Usinas (Histórico)'!$H$5:$H$500,A18))</f>
        <v/>
      </c>
      <c r="E18" s="13" t="str">
        <f>IF(COUNTIFS('Resumo Usinas (Histórico)'!$C$5:$C$500,"7030869294",'Resumo Usinas (Histórico)'!$H$5:$H$500,A18)=0,"",SUMIFS('Resumo Usinas (Histórico)'!$L$5:$L$500,'Resumo Usinas (Histórico)'!$C$5:$C$500,"7030869294",'Resumo Usinas (Histórico)'!$H$5:$H$500,A18))</f>
        <v/>
      </c>
    </row>
    <row r="19" spans="1:5" x14ac:dyDescent="0.2">
      <c r="A19" s="12">
        <f t="shared" si="0"/>
        <v>46600</v>
      </c>
      <c r="B19" s="13" t="str">
        <f>IF(COUNTIFS('Resumo Usinas (Histórico)'!$C$5:$C$500,"7030102643",'Resumo Usinas (Histórico)'!$H$5:$H$500,A19)=0,"",SUMIFS('Resumo Usinas (Histórico)'!$L$5:$L$500,'Resumo Usinas (Histórico)'!$C$5:$C$500,"7030102643",'Resumo Usinas (Histórico)'!$H$5:$H$500,A19))</f>
        <v/>
      </c>
      <c r="C19" s="13" t="str">
        <f>IF(COUNTIFS('Resumo Usinas (Histórico)'!$C$5:$C$500,"7030869049",'Resumo Usinas (Histórico)'!$H$5:$H$500,A19)=0,"",SUMIFS('Resumo Usinas (Histórico)'!$L$5:$L$500,'Resumo Usinas (Histórico)'!$C$5:$C$500,"7030869049",'Resumo Usinas (Histórico)'!$H$5:$H$500,A19))</f>
        <v/>
      </c>
      <c r="D19" s="13" t="str">
        <f>IF(COUNTIFS('Resumo Usinas (Histórico)'!$C$5:$C$500,"7030869065",'Resumo Usinas (Histórico)'!$H$5:$H$500,A19)=0,"",SUMIFS('Resumo Usinas (Histórico)'!$L$5:$L$500,'Resumo Usinas (Histórico)'!$C$5:$C$500,"7030869065",'Resumo Usinas (Histórico)'!$H$5:$H$500,A19))</f>
        <v/>
      </c>
      <c r="E19" s="13" t="str">
        <f>IF(COUNTIFS('Resumo Usinas (Histórico)'!$C$5:$C$500,"7030869294",'Resumo Usinas (Histórico)'!$H$5:$H$500,A19)=0,"",SUMIFS('Resumo Usinas (Histórico)'!$L$5:$L$500,'Resumo Usinas (Histórico)'!$C$5:$C$500,"7030869294",'Resumo Usinas (Histórico)'!$H$5:$H$500,A19))</f>
        <v/>
      </c>
    </row>
    <row r="20" spans="1:5" x14ac:dyDescent="0.2">
      <c r="A20" s="12">
        <f t="shared" si="0"/>
        <v>46631</v>
      </c>
      <c r="B20" s="13" t="str">
        <f>IF(COUNTIFS('Resumo Usinas (Histórico)'!$C$5:$C$500,"7030102643",'Resumo Usinas (Histórico)'!$H$5:$H$500,A20)=0,"",SUMIFS('Resumo Usinas (Histórico)'!$L$5:$L$500,'Resumo Usinas (Histórico)'!$C$5:$C$500,"7030102643",'Resumo Usinas (Histórico)'!$H$5:$H$500,A20))</f>
        <v/>
      </c>
      <c r="C20" s="13" t="str">
        <f>IF(COUNTIFS('Resumo Usinas (Histórico)'!$C$5:$C$500,"7030869049",'Resumo Usinas (Histórico)'!$H$5:$H$500,A20)=0,"",SUMIFS('Resumo Usinas (Histórico)'!$L$5:$L$500,'Resumo Usinas (Histórico)'!$C$5:$C$500,"7030869049",'Resumo Usinas (Histórico)'!$H$5:$H$500,A20))</f>
        <v/>
      </c>
      <c r="D20" s="13" t="str">
        <f>IF(COUNTIFS('Resumo Usinas (Histórico)'!$C$5:$C$500,"7030869065",'Resumo Usinas (Histórico)'!$H$5:$H$500,A20)=0,"",SUMIFS('Resumo Usinas (Histórico)'!$L$5:$L$500,'Resumo Usinas (Histórico)'!$C$5:$C$500,"7030869065",'Resumo Usinas (Histórico)'!$H$5:$H$500,A20))</f>
        <v/>
      </c>
      <c r="E20" s="13" t="str">
        <f>IF(COUNTIFS('Resumo Usinas (Histórico)'!$C$5:$C$500,"7030869294",'Resumo Usinas (Histórico)'!$H$5:$H$500,A20)=0,"",SUMIFS('Resumo Usinas (Histórico)'!$L$5:$L$500,'Resumo Usinas (Histórico)'!$C$5:$C$500,"7030869294",'Resumo Usinas (Histórico)'!$H$5:$H$500,A20))</f>
        <v/>
      </c>
    </row>
    <row r="21" spans="1:5" x14ac:dyDescent="0.2">
      <c r="A21" s="12">
        <f t="shared" si="0"/>
        <v>46661</v>
      </c>
      <c r="B21" s="13" t="str">
        <f>IF(COUNTIFS('Resumo Usinas (Histórico)'!$C$5:$C$500,"7030102643",'Resumo Usinas (Histórico)'!$H$5:$H$500,A21)=0,"",SUMIFS('Resumo Usinas (Histórico)'!$L$5:$L$500,'Resumo Usinas (Histórico)'!$C$5:$C$500,"7030102643",'Resumo Usinas (Histórico)'!$H$5:$H$500,A21))</f>
        <v/>
      </c>
      <c r="C21" s="13" t="str">
        <f>IF(COUNTIFS('Resumo Usinas (Histórico)'!$C$5:$C$500,"7030869049",'Resumo Usinas (Histórico)'!$H$5:$H$500,A21)=0,"",SUMIFS('Resumo Usinas (Histórico)'!$L$5:$L$500,'Resumo Usinas (Histórico)'!$C$5:$C$500,"7030869049",'Resumo Usinas (Histórico)'!$H$5:$H$500,A21))</f>
        <v/>
      </c>
      <c r="D21" s="13" t="str">
        <f>IF(COUNTIFS('Resumo Usinas (Histórico)'!$C$5:$C$500,"7030869065",'Resumo Usinas (Histórico)'!$H$5:$H$500,A21)=0,"",SUMIFS('Resumo Usinas (Histórico)'!$L$5:$L$500,'Resumo Usinas (Histórico)'!$C$5:$C$500,"7030869065",'Resumo Usinas (Histórico)'!$H$5:$H$500,A21))</f>
        <v/>
      </c>
      <c r="E21" s="13" t="str">
        <f>IF(COUNTIFS('Resumo Usinas (Histórico)'!$C$5:$C$500,"7030869294",'Resumo Usinas (Histórico)'!$H$5:$H$500,A21)=0,"",SUMIFS('Resumo Usinas (Histórico)'!$L$5:$L$500,'Resumo Usinas (Histórico)'!$C$5:$C$500,"7030869294",'Resumo Usinas (Histórico)'!$H$5:$H$500,A21))</f>
        <v/>
      </c>
    </row>
    <row r="22" spans="1:5" x14ac:dyDescent="0.2">
      <c r="A22" s="12">
        <f t="shared" si="0"/>
        <v>46692</v>
      </c>
      <c r="B22" s="13" t="str">
        <f>IF(COUNTIFS('Resumo Usinas (Histórico)'!$C$5:$C$500,"7030102643",'Resumo Usinas (Histórico)'!$H$5:$H$500,A22)=0,"",SUMIFS('Resumo Usinas (Histórico)'!$L$5:$L$500,'Resumo Usinas (Histórico)'!$C$5:$C$500,"7030102643",'Resumo Usinas (Histórico)'!$H$5:$H$500,A22))</f>
        <v/>
      </c>
      <c r="C22" s="13" t="str">
        <f>IF(COUNTIFS('Resumo Usinas (Histórico)'!$C$5:$C$500,"7030869049",'Resumo Usinas (Histórico)'!$H$5:$H$500,A22)=0,"",SUMIFS('Resumo Usinas (Histórico)'!$L$5:$L$500,'Resumo Usinas (Histórico)'!$C$5:$C$500,"7030869049",'Resumo Usinas (Histórico)'!$H$5:$H$500,A22))</f>
        <v/>
      </c>
      <c r="D22" s="13" t="str">
        <f>IF(COUNTIFS('Resumo Usinas (Histórico)'!$C$5:$C$500,"7030869065",'Resumo Usinas (Histórico)'!$H$5:$H$500,A22)=0,"",SUMIFS('Resumo Usinas (Histórico)'!$L$5:$L$500,'Resumo Usinas (Histórico)'!$C$5:$C$500,"7030869065",'Resumo Usinas (Histórico)'!$H$5:$H$500,A22))</f>
        <v/>
      </c>
      <c r="E22" s="13" t="str">
        <f>IF(COUNTIFS('Resumo Usinas (Histórico)'!$C$5:$C$500,"7030869294",'Resumo Usinas (Histórico)'!$H$5:$H$500,A22)=0,"",SUMIFS('Resumo Usinas (Histórico)'!$L$5:$L$500,'Resumo Usinas (Histórico)'!$C$5:$C$500,"7030869294",'Resumo Usinas (Histórico)'!$H$5:$H$500,A22))</f>
        <v/>
      </c>
    </row>
    <row r="23" spans="1:5" x14ac:dyDescent="0.2">
      <c r="A23" s="12">
        <f t="shared" si="0"/>
        <v>46722</v>
      </c>
      <c r="B23" s="13" t="str">
        <f>IF(COUNTIFS('Resumo Usinas (Histórico)'!$C$5:$C$500,"7030102643",'Resumo Usinas (Histórico)'!$H$5:$H$500,A23)=0,"",SUMIFS('Resumo Usinas (Histórico)'!$L$5:$L$500,'Resumo Usinas (Histórico)'!$C$5:$C$500,"7030102643",'Resumo Usinas (Histórico)'!$H$5:$H$500,A23))</f>
        <v/>
      </c>
      <c r="C23" s="13" t="str">
        <f>IF(COUNTIFS('Resumo Usinas (Histórico)'!$C$5:$C$500,"7030869049",'Resumo Usinas (Histórico)'!$H$5:$H$500,A23)=0,"",SUMIFS('Resumo Usinas (Histórico)'!$L$5:$L$500,'Resumo Usinas (Histórico)'!$C$5:$C$500,"7030869049",'Resumo Usinas (Histórico)'!$H$5:$H$500,A23))</f>
        <v/>
      </c>
      <c r="D23" s="13" t="str">
        <f>IF(COUNTIFS('Resumo Usinas (Histórico)'!$C$5:$C$500,"7030869065",'Resumo Usinas (Histórico)'!$H$5:$H$500,A23)=0,"",SUMIFS('Resumo Usinas (Histórico)'!$L$5:$L$500,'Resumo Usinas (Histórico)'!$C$5:$C$500,"7030869065",'Resumo Usinas (Histórico)'!$H$5:$H$500,A23))</f>
        <v/>
      </c>
      <c r="E23" s="13" t="str">
        <f>IF(COUNTIFS('Resumo Usinas (Histórico)'!$C$5:$C$500,"7030869294",'Resumo Usinas (Histórico)'!$H$5:$H$500,A23)=0,"",SUMIFS('Resumo Usinas (Histórico)'!$L$5:$L$500,'Resumo Usinas (Histórico)'!$C$5:$C$500,"7030869294",'Resumo Usinas (Histórico)'!$H$5:$H$500,A23))</f>
        <v/>
      </c>
    </row>
    <row r="24" spans="1:5" x14ac:dyDescent="0.2">
      <c r="A24" s="12">
        <f t="shared" si="0"/>
        <v>46753</v>
      </c>
      <c r="B24" s="13" t="str">
        <f>IF(COUNTIFS('Resumo Usinas (Histórico)'!$C$5:$C$500,"7030102643",'Resumo Usinas (Histórico)'!$H$5:$H$500,A24)=0,"",SUMIFS('Resumo Usinas (Histórico)'!$L$5:$L$500,'Resumo Usinas (Histórico)'!$C$5:$C$500,"7030102643",'Resumo Usinas (Histórico)'!$H$5:$H$500,A24))</f>
        <v/>
      </c>
      <c r="C24" s="13" t="str">
        <f>IF(COUNTIFS('Resumo Usinas (Histórico)'!$C$5:$C$500,"7030869049",'Resumo Usinas (Histórico)'!$H$5:$H$500,A24)=0,"",SUMIFS('Resumo Usinas (Histórico)'!$L$5:$L$500,'Resumo Usinas (Histórico)'!$C$5:$C$500,"7030869049",'Resumo Usinas (Histórico)'!$H$5:$H$500,A24))</f>
        <v/>
      </c>
      <c r="D24" s="13" t="str">
        <f>IF(COUNTIFS('Resumo Usinas (Histórico)'!$C$5:$C$500,"7030869065",'Resumo Usinas (Histórico)'!$H$5:$H$500,A24)=0,"",SUMIFS('Resumo Usinas (Histórico)'!$L$5:$L$500,'Resumo Usinas (Histórico)'!$C$5:$C$500,"7030869065",'Resumo Usinas (Histórico)'!$H$5:$H$500,A24))</f>
        <v/>
      </c>
      <c r="E24" s="13" t="str">
        <f>IF(COUNTIFS('Resumo Usinas (Histórico)'!$C$5:$C$500,"7030869294",'Resumo Usinas (Histórico)'!$H$5:$H$500,A24)=0,"",SUMIFS('Resumo Usinas (Histórico)'!$L$5:$L$500,'Resumo Usinas (Histórico)'!$C$5:$C$500,"7030869294",'Resumo Usinas (Histórico)'!$H$5:$H$500,A24))</f>
        <v/>
      </c>
    </row>
    <row r="25" spans="1:5" x14ac:dyDescent="0.2">
      <c r="A25" s="12">
        <f t="shared" si="0"/>
        <v>46784</v>
      </c>
      <c r="B25" s="13" t="str">
        <f>IF(COUNTIFS('Resumo Usinas (Histórico)'!$C$5:$C$500,"7030102643",'Resumo Usinas (Histórico)'!$H$5:$H$500,A25)=0,"",SUMIFS('Resumo Usinas (Histórico)'!$L$5:$L$500,'Resumo Usinas (Histórico)'!$C$5:$C$500,"7030102643",'Resumo Usinas (Histórico)'!$H$5:$H$500,A25))</f>
        <v/>
      </c>
      <c r="C25" s="13" t="str">
        <f>IF(COUNTIFS('Resumo Usinas (Histórico)'!$C$5:$C$500,"7030869049",'Resumo Usinas (Histórico)'!$H$5:$H$500,A25)=0,"",SUMIFS('Resumo Usinas (Histórico)'!$L$5:$L$500,'Resumo Usinas (Histórico)'!$C$5:$C$500,"7030869049",'Resumo Usinas (Histórico)'!$H$5:$H$500,A25))</f>
        <v/>
      </c>
      <c r="D25" s="13" t="str">
        <f>IF(COUNTIFS('Resumo Usinas (Histórico)'!$C$5:$C$500,"7030869065",'Resumo Usinas (Histórico)'!$H$5:$H$500,A25)=0,"",SUMIFS('Resumo Usinas (Histórico)'!$L$5:$L$500,'Resumo Usinas (Histórico)'!$C$5:$C$500,"7030869065",'Resumo Usinas (Histórico)'!$H$5:$H$500,A25))</f>
        <v/>
      </c>
      <c r="E25" s="13" t="str">
        <f>IF(COUNTIFS('Resumo Usinas (Histórico)'!$C$5:$C$500,"7030869294",'Resumo Usinas (Histórico)'!$H$5:$H$500,A25)=0,"",SUMIFS('Resumo Usinas (Histórico)'!$L$5:$L$500,'Resumo Usinas (Histórico)'!$C$5:$C$500,"7030869294",'Resumo Usinas (Histórico)'!$H$5:$H$500,A25))</f>
        <v/>
      </c>
    </row>
    <row r="26" spans="1:5" x14ac:dyDescent="0.2">
      <c r="A26" s="12">
        <f t="shared" si="0"/>
        <v>46813</v>
      </c>
      <c r="B26" s="13" t="str">
        <f>IF(COUNTIFS('Resumo Usinas (Histórico)'!$C$5:$C$500,"7030102643",'Resumo Usinas (Histórico)'!$H$5:$H$500,A26)=0,"",SUMIFS('Resumo Usinas (Histórico)'!$L$5:$L$500,'Resumo Usinas (Histórico)'!$C$5:$C$500,"7030102643",'Resumo Usinas (Histórico)'!$H$5:$H$500,A26))</f>
        <v/>
      </c>
      <c r="C26" s="13" t="str">
        <f>IF(COUNTIFS('Resumo Usinas (Histórico)'!$C$5:$C$500,"7030869049",'Resumo Usinas (Histórico)'!$H$5:$H$500,A26)=0,"",SUMIFS('Resumo Usinas (Histórico)'!$L$5:$L$500,'Resumo Usinas (Histórico)'!$C$5:$C$500,"7030869049",'Resumo Usinas (Histórico)'!$H$5:$H$500,A26))</f>
        <v/>
      </c>
      <c r="D26" s="13" t="str">
        <f>IF(COUNTIFS('Resumo Usinas (Histórico)'!$C$5:$C$500,"7030869065",'Resumo Usinas (Histórico)'!$H$5:$H$500,A26)=0,"",SUMIFS('Resumo Usinas (Histórico)'!$L$5:$L$500,'Resumo Usinas (Histórico)'!$C$5:$C$500,"7030869065",'Resumo Usinas (Histórico)'!$H$5:$H$500,A26))</f>
        <v/>
      </c>
      <c r="E26" s="13" t="str">
        <f>IF(COUNTIFS('Resumo Usinas (Histórico)'!$C$5:$C$500,"7030869294",'Resumo Usinas (Histórico)'!$H$5:$H$500,A26)=0,"",SUMIFS('Resumo Usinas (Histórico)'!$L$5:$L$500,'Resumo Usinas (Histórico)'!$C$5:$C$500,"7030869294",'Resumo Usinas (Histórico)'!$H$5:$H$500,A26))</f>
        <v/>
      </c>
    </row>
    <row r="27" spans="1:5" x14ac:dyDescent="0.2">
      <c r="A27" s="12">
        <f t="shared" si="0"/>
        <v>46844</v>
      </c>
      <c r="B27" s="13" t="str">
        <f>IF(COUNTIFS('Resumo Usinas (Histórico)'!$C$5:$C$500,"7030102643",'Resumo Usinas (Histórico)'!$H$5:$H$500,A27)=0,"",SUMIFS('Resumo Usinas (Histórico)'!$L$5:$L$500,'Resumo Usinas (Histórico)'!$C$5:$C$500,"7030102643",'Resumo Usinas (Histórico)'!$H$5:$H$500,A27))</f>
        <v/>
      </c>
      <c r="C27" s="13" t="str">
        <f>IF(COUNTIFS('Resumo Usinas (Histórico)'!$C$5:$C$500,"7030869049",'Resumo Usinas (Histórico)'!$H$5:$H$500,A27)=0,"",SUMIFS('Resumo Usinas (Histórico)'!$L$5:$L$500,'Resumo Usinas (Histórico)'!$C$5:$C$500,"7030869049",'Resumo Usinas (Histórico)'!$H$5:$H$500,A27))</f>
        <v/>
      </c>
      <c r="D27" s="13" t="str">
        <f>IF(COUNTIFS('Resumo Usinas (Histórico)'!$C$5:$C$500,"7030869065",'Resumo Usinas (Histórico)'!$H$5:$H$500,A27)=0,"",SUMIFS('Resumo Usinas (Histórico)'!$L$5:$L$500,'Resumo Usinas (Histórico)'!$C$5:$C$500,"7030869065",'Resumo Usinas (Histórico)'!$H$5:$H$500,A27))</f>
        <v/>
      </c>
      <c r="E27" s="13" t="str">
        <f>IF(COUNTIFS('Resumo Usinas (Histórico)'!$C$5:$C$500,"7030869294",'Resumo Usinas (Histórico)'!$H$5:$H$500,A27)=0,"",SUMIFS('Resumo Usinas (Histórico)'!$L$5:$L$500,'Resumo Usinas (Histórico)'!$C$5:$C$500,"7030869294",'Resumo Usinas (Histórico)'!$H$5:$H$500,A27))</f>
        <v/>
      </c>
    </row>
    <row r="28" spans="1:5" x14ac:dyDescent="0.2">
      <c r="A28" s="12">
        <f t="shared" si="0"/>
        <v>46874</v>
      </c>
      <c r="B28" s="13" t="str">
        <f>IF(COUNTIFS('Resumo Usinas (Histórico)'!$C$5:$C$500,"7030102643",'Resumo Usinas (Histórico)'!$H$5:$H$500,A28)=0,"",SUMIFS('Resumo Usinas (Histórico)'!$L$5:$L$500,'Resumo Usinas (Histórico)'!$C$5:$C$500,"7030102643",'Resumo Usinas (Histórico)'!$H$5:$H$500,A28))</f>
        <v/>
      </c>
      <c r="C28" s="13" t="str">
        <f>IF(COUNTIFS('Resumo Usinas (Histórico)'!$C$5:$C$500,"7030869049",'Resumo Usinas (Histórico)'!$H$5:$H$500,A28)=0,"",SUMIFS('Resumo Usinas (Histórico)'!$L$5:$L$500,'Resumo Usinas (Histórico)'!$C$5:$C$500,"7030869049",'Resumo Usinas (Histórico)'!$H$5:$H$500,A28))</f>
        <v/>
      </c>
      <c r="D28" s="13" t="str">
        <f>IF(COUNTIFS('Resumo Usinas (Histórico)'!$C$5:$C$500,"7030869065",'Resumo Usinas (Histórico)'!$H$5:$H$500,A28)=0,"",SUMIFS('Resumo Usinas (Histórico)'!$L$5:$L$500,'Resumo Usinas (Histórico)'!$C$5:$C$500,"7030869065",'Resumo Usinas (Histórico)'!$H$5:$H$500,A28))</f>
        <v/>
      </c>
      <c r="E28" s="13" t="str">
        <f>IF(COUNTIFS('Resumo Usinas (Histórico)'!$C$5:$C$500,"7030869294",'Resumo Usinas (Histórico)'!$H$5:$H$500,A28)=0,"",SUMIFS('Resumo Usinas (Histórico)'!$L$5:$L$500,'Resumo Usinas (Histórico)'!$C$5:$C$500,"7030869294",'Resumo Usinas (Histórico)'!$H$5:$H$500,A28))</f>
        <v/>
      </c>
    </row>
    <row r="29" spans="1:5" x14ac:dyDescent="0.2">
      <c r="A29" s="12">
        <f t="shared" si="0"/>
        <v>46905</v>
      </c>
      <c r="B29" s="13" t="str">
        <f>IF(COUNTIFS('Resumo Usinas (Histórico)'!$C$5:$C$500,"7030102643",'Resumo Usinas (Histórico)'!$H$5:$H$500,A29)=0,"",SUMIFS('Resumo Usinas (Histórico)'!$L$5:$L$500,'Resumo Usinas (Histórico)'!$C$5:$C$500,"7030102643",'Resumo Usinas (Histórico)'!$H$5:$H$500,A29))</f>
        <v/>
      </c>
      <c r="C29" s="13" t="str">
        <f>IF(COUNTIFS('Resumo Usinas (Histórico)'!$C$5:$C$500,"7030869049",'Resumo Usinas (Histórico)'!$H$5:$H$500,A29)=0,"",SUMIFS('Resumo Usinas (Histórico)'!$L$5:$L$500,'Resumo Usinas (Histórico)'!$C$5:$C$500,"7030869049",'Resumo Usinas (Histórico)'!$H$5:$H$500,A29))</f>
        <v/>
      </c>
      <c r="D29" s="13" t="str">
        <f>IF(COUNTIFS('Resumo Usinas (Histórico)'!$C$5:$C$500,"7030869065",'Resumo Usinas (Histórico)'!$H$5:$H$500,A29)=0,"",SUMIFS('Resumo Usinas (Histórico)'!$L$5:$L$500,'Resumo Usinas (Histórico)'!$C$5:$C$500,"7030869065",'Resumo Usinas (Histórico)'!$H$5:$H$500,A29))</f>
        <v/>
      </c>
      <c r="E29" s="13" t="str">
        <f>IF(COUNTIFS('Resumo Usinas (Histórico)'!$C$5:$C$500,"7030869294",'Resumo Usinas (Histórico)'!$H$5:$H$500,A29)=0,"",SUMIFS('Resumo Usinas (Histórico)'!$L$5:$L$500,'Resumo Usinas (Histórico)'!$C$5:$C$500,"7030869294",'Resumo Usinas (Histórico)'!$H$5:$H$500,A29))</f>
        <v/>
      </c>
    </row>
    <row r="30" spans="1:5" x14ac:dyDescent="0.2">
      <c r="A30" s="12">
        <f t="shared" si="0"/>
        <v>46935</v>
      </c>
      <c r="B30" s="13" t="str">
        <f>IF(COUNTIFS('Resumo Usinas (Histórico)'!$C$5:$C$500,"7030102643",'Resumo Usinas (Histórico)'!$H$5:$H$500,A30)=0,"",SUMIFS('Resumo Usinas (Histórico)'!$L$5:$L$500,'Resumo Usinas (Histórico)'!$C$5:$C$500,"7030102643",'Resumo Usinas (Histórico)'!$H$5:$H$500,A30))</f>
        <v/>
      </c>
      <c r="C30" s="13" t="str">
        <f>IF(COUNTIFS('Resumo Usinas (Histórico)'!$C$5:$C$500,"7030869049",'Resumo Usinas (Histórico)'!$H$5:$H$500,A30)=0,"",SUMIFS('Resumo Usinas (Histórico)'!$L$5:$L$500,'Resumo Usinas (Histórico)'!$C$5:$C$500,"7030869049",'Resumo Usinas (Histórico)'!$H$5:$H$500,A30))</f>
        <v/>
      </c>
      <c r="D30" s="13" t="str">
        <f>IF(COUNTIFS('Resumo Usinas (Histórico)'!$C$5:$C$500,"7030869065",'Resumo Usinas (Histórico)'!$H$5:$H$500,A30)=0,"",SUMIFS('Resumo Usinas (Histórico)'!$L$5:$L$500,'Resumo Usinas (Histórico)'!$C$5:$C$500,"7030869065",'Resumo Usinas (Histórico)'!$H$5:$H$500,A30))</f>
        <v/>
      </c>
      <c r="E30" s="13" t="str">
        <f>IF(COUNTIFS('Resumo Usinas (Histórico)'!$C$5:$C$500,"7030869294",'Resumo Usinas (Histórico)'!$H$5:$H$500,A30)=0,"",SUMIFS('Resumo Usinas (Histórico)'!$L$5:$L$500,'Resumo Usinas (Histórico)'!$C$5:$C$500,"7030869294",'Resumo Usinas (Histórico)'!$H$5:$H$500,A30))</f>
        <v/>
      </c>
    </row>
    <row r="31" spans="1:5" x14ac:dyDescent="0.2">
      <c r="A31" s="12">
        <f t="shared" si="0"/>
        <v>46966</v>
      </c>
      <c r="B31" s="13" t="str">
        <f>IF(COUNTIFS('Resumo Usinas (Histórico)'!$C$5:$C$500,"7030102643",'Resumo Usinas (Histórico)'!$H$5:$H$500,A31)=0,"",SUMIFS('Resumo Usinas (Histórico)'!$L$5:$L$500,'Resumo Usinas (Histórico)'!$C$5:$C$500,"7030102643",'Resumo Usinas (Histórico)'!$H$5:$H$500,A31))</f>
        <v/>
      </c>
      <c r="C31" s="13" t="str">
        <f>IF(COUNTIFS('Resumo Usinas (Histórico)'!$C$5:$C$500,"7030869049",'Resumo Usinas (Histórico)'!$H$5:$H$500,A31)=0,"",SUMIFS('Resumo Usinas (Histórico)'!$L$5:$L$500,'Resumo Usinas (Histórico)'!$C$5:$C$500,"7030869049",'Resumo Usinas (Histórico)'!$H$5:$H$500,A31))</f>
        <v/>
      </c>
      <c r="D31" s="13" t="str">
        <f>IF(COUNTIFS('Resumo Usinas (Histórico)'!$C$5:$C$500,"7030869065",'Resumo Usinas (Histórico)'!$H$5:$H$500,A31)=0,"",SUMIFS('Resumo Usinas (Histórico)'!$L$5:$L$500,'Resumo Usinas (Histórico)'!$C$5:$C$500,"7030869065",'Resumo Usinas (Histórico)'!$H$5:$H$500,A31))</f>
        <v/>
      </c>
      <c r="E31" s="13" t="str">
        <f>IF(COUNTIFS('Resumo Usinas (Histórico)'!$C$5:$C$500,"7030869294",'Resumo Usinas (Histórico)'!$H$5:$H$500,A31)=0,"",SUMIFS('Resumo Usinas (Histórico)'!$L$5:$L$500,'Resumo Usinas (Histórico)'!$C$5:$C$500,"7030869294",'Resumo Usinas (Histórico)'!$H$5:$H$500,A31))</f>
        <v/>
      </c>
    </row>
    <row r="32" spans="1:5" x14ac:dyDescent="0.2">
      <c r="A32" s="12">
        <f t="shared" si="0"/>
        <v>46997</v>
      </c>
      <c r="B32" s="13" t="str">
        <f>IF(COUNTIFS('Resumo Usinas (Histórico)'!$C$5:$C$500,"7030102643",'Resumo Usinas (Histórico)'!$H$5:$H$500,A32)=0,"",SUMIFS('Resumo Usinas (Histórico)'!$L$5:$L$500,'Resumo Usinas (Histórico)'!$C$5:$C$500,"7030102643",'Resumo Usinas (Histórico)'!$H$5:$H$500,A32))</f>
        <v/>
      </c>
      <c r="C32" s="13" t="str">
        <f>IF(COUNTIFS('Resumo Usinas (Histórico)'!$C$5:$C$500,"7030869049",'Resumo Usinas (Histórico)'!$H$5:$H$500,A32)=0,"",SUMIFS('Resumo Usinas (Histórico)'!$L$5:$L$500,'Resumo Usinas (Histórico)'!$C$5:$C$500,"7030869049",'Resumo Usinas (Histórico)'!$H$5:$H$500,A32))</f>
        <v/>
      </c>
      <c r="D32" s="13" t="str">
        <f>IF(COUNTIFS('Resumo Usinas (Histórico)'!$C$5:$C$500,"7030869065",'Resumo Usinas (Histórico)'!$H$5:$H$500,A32)=0,"",SUMIFS('Resumo Usinas (Histórico)'!$L$5:$L$500,'Resumo Usinas (Histórico)'!$C$5:$C$500,"7030869065",'Resumo Usinas (Histórico)'!$H$5:$H$500,A32))</f>
        <v/>
      </c>
      <c r="E32" s="13" t="str">
        <f>IF(COUNTIFS('Resumo Usinas (Histórico)'!$C$5:$C$500,"7030869294",'Resumo Usinas (Histórico)'!$H$5:$H$500,A32)=0,"",SUMIFS('Resumo Usinas (Histórico)'!$L$5:$L$500,'Resumo Usinas (Histórico)'!$C$5:$C$500,"7030869294",'Resumo Usinas (Histórico)'!$H$5:$H$500,A32))</f>
        <v/>
      </c>
    </row>
    <row r="33" spans="1:5" x14ac:dyDescent="0.2">
      <c r="A33" s="12">
        <f t="shared" si="0"/>
        <v>47027</v>
      </c>
      <c r="B33" s="13" t="str">
        <f>IF(COUNTIFS('Resumo Usinas (Histórico)'!$C$5:$C$500,"7030102643",'Resumo Usinas (Histórico)'!$H$5:$H$500,A33)=0,"",SUMIFS('Resumo Usinas (Histórico)'!$L$5:$L$500,'Resumo Usinas (Histórico)'!$C$5:$C$500,"7030102643",'Resumo Usinas (Histórico)'!$H$5:$H$500,A33))</f>
        <v/>
      </c>
      <c r="C33" s="13" t="str">
        <f>IF(COUNTIFS('Resumo Usinas (Histórico)'!$C$5:$C$500,"7030869049",'Resumo Usinas (Histórico)'!$H$5:$H$500,A33)=0,"",SUMIFS('Resumo Usinas (Histórico)'!$L$5:$L$500,'Resumo Usinas (Histórico)'!$C$5:$C$500,"7030869049",'Resumo Usinas (Histórico)'!$H$5:$H$500,A33))</f>
        <v/>
      </c>
      <c r="D33" s="13" t="str">
        <f>IF(COUNTIFS('Resumo Usinas (Histórico)'!$C$5:$C$500,"7030869065",'Resumo Usinas (Histórico)'!$H$5:$H$500,A33)=0,"",SUMIFS('Resumo Usinas (Histórico)'!$L$5:$L$500,'Resumo Usinas (Histórico)'!$C$5:$C$500,"7030869065",'Resumo Usinas (Histórico)'!$H$5:$H$500,A33))</f>
        <v/>
      </c>
      <c r="E33" s="13" t="str">
        <f>IF(COUNTIFS('Resumo Usinas (Histórico)'!$C$5:$C$500,"7030869294",'Resumo Usinas (Histórico)'!$H$5:$H$500,A33)=0,"",SUMIFS('Resumo Usinas (Histórico)'!$L$5:$L$500,'Resumo Usinas (Histórico)'!$C$5:$C$500,"7030869294",'Resumo Usinas (Histórico)'!$H$5:$H$500,A33))</f>
        <v/>
      </c>
    </row>
    <row r="34" spans="1:5" x14ac:dyDescent="0.2">
      <c r="A34" s="12">
        <f t="shared" si="0"/>
        <v>47058</v>
      </c>
      <c r="B34" s="13" t="str">
        <f>IF(COUNTIFS('Resumo Usinas (Histórico)'!$C$5:$C$500,"7030102643",'Resumo Usinas (Histórico)'!$H$5:$H$500,A34)=0,"",SUMIFS('Resumo Usinas (Histórico)'!$L$5:$L$500,'Resumo Usinas (Histórico)'!$C$5:$C$500,"7030102643",'Resumo Usinas (Histórico)'!$H$5:$H$500,A34))</f>
        <v/>
      </c>
      <c r="C34" s="13" t="str">
        <f>IF(COUNTIFS('Resumo Usinas (Histórico)'!$C$5:$C$500,"7030869049",'Resumo Usinas (Histórico)'!$H$5:$H$500,A34)=0,"",SUMIFS('Resumo Usinas (Histórico)'!$L$5:$L$500,'Resumo Usinas (Histórico)'!$C$5:$C$500,"7030869049",'Resumo Usinas (Histórico)'!$H$5:$H$500,A34))</f>
        <v/>
      </c>
      <c r="D34" s="13" t="str">
        <f>IF(COUNTIFS('Resumo Usinas (Histórico)'!$C$5:$C$500,"7030869065",'Resumo Usinas (Histórico)'!$H$5:$H$500,A34)=0,"",SUMIFS('Resumo Usinas (Histórico)'!$L$5:$L$500,'Resumo Usinas (Histórico)'!$C$5:$C$500,"7030869065",'Resumo Usinas (Histórico)'!$H$5:$H$500,A34))</f>
        <v/>
      </c>
      <c r="E34" s="13" t="str">
        <f>IF(COUNTIFS('Resumo Usinas (Histórico)'!$C$5:$C$500,"7030869294",'Resumo Usinas (Histórico)'!$H$5:$H$500,A34)=0,"",SUMIFS('Resumo Usinas (Histórico)'!$L$5:$L$500,'Resumo Usinas (Histórico)'!$C$5:$C$500,"7030869294",'Resumo Usinas (Histórico)'!$H$5:$H$500,A34))</f>
        <v/>
      </c>
    </row>
    <row r="35" spans="1:5" x14ac:dyDescent="0.2">
      <c r="A35" s="12">
        <f t="shared" si="0"/>
        <v>47088</v>
      </c>
      <c r="B35" s="13" t="str">
        <f>IF(COUNTIFS('Resumo Usinas (Histórico)'!$C$5:$C$500,"7030102643",'Resumo Usinas (Histórico)'!$H$5:$H$500,A35)=0,"",SUMIFS('Resumo Usinas (Histórico)'!$L$5:$L$500,'Resumo Usinas (Histórico)'!$C$5:$C$500,"7030102643",'Resumo Usinas (Histórico)'!$H$5:$H$500,A35))</f>
        <v/>
      </c>
      <c r="C35" s="13" t="str">
        <f>IF(COUNTIFS('Resumo Usinas (Histórico)'!$C$5:$C$500,"7030869049",'Resumo Usinas (Histórico)'!$H$5:$H$500,A35)=0,"",SUMIFS('Resumo Usinas (Histórico)'!$L$5:$L$500,'Resumo Usinas (Histórico)'!$C$5:$C$500,"7030869049",'Resumo Usinas (Histórico)'!$H$5:$H$500,A35))</f>
        <v/>
      </c>
      <c r="D35" s="13" t="str">
        <f>IF(COUNTIFS('Resumo Usinas (Histórico)'!$C$5:$C$500,"7030869065",'Resumo Usinas (Histórico)'!$H$5:$H$500,A35)=0,"",SUMIFS('Resumo Usinas (Histórico)'!$L$5:$L$500,'Resumo Usinas (Histórico)'!$C$5:$C$500,"7030869065",'Resumo Usinas (Histórico)'!$H$5:$H$500,A35))</f>
        <v/>
      </c>
      <c r="E35" s="13" t="str">
        <f>IF(COUNTIFS('Resumo Usinas (Histórico)'!$C$5:$C$500,"7030869294",'Resumo Usinas (Histórico)'!$H$5:$H$500,A35)=0,"",SUMIFS('Resumo Usinas (Histórico)'!$L$5:$L$500,'Resumo Usinas (Histórico)'!$C$5:$C$500,"7030869294",'Resumo Usinas (Histórico)'!$H$5:$H$500,A35))</f>
        <v/>
      </c>
    </row>
    <row r="36" spans="1:5" x14ac:dyDescent="0.2">
      <c r="A36" s="12">
        <f t="shared" si="0"/>
        <v>47119</v>
      </c>
      <c r="B36" s="13" t="str">
        <f>IF(COUNTIFS('Resumo Usinas (Histórico)'!$C$5:$C$500,"7030102643",'Resumo Usinas (Histórico)'!$H$5:$H$500,A36)=0,"",SUMIFS('Resumo Usinas (Histórico)'!$L$5:$L$500,'Resumo Usinas (Histórico)'!$C$5:$C$500,"7030102643",'Resumo Usinas (Histórico)'!$H$5:$H$500,A36))</f>
        <v/>
      </c>
      <c r="C36" s="13" t="str">
        <f>IF(COUNTIFS('Resumo Usinas (Histórico)'!$C$5:$C$500,"7030869049",'Resumo Usinas (Histórico)'!$H$5:$H$500,A36)=0,"",SUMIFS('Resumo Usinas (Histórico)'!$L$5:$L$500,'Resumo Usinas (Histórico)'!$C$5:$C$500,"7030869049",'Resumo Usinas (Histórico)'!$H$5:$H$500,A36))</f>
        <v/>
      </c>
      <c r="D36" s="13" t="str">
        <f>IF(COUNTIFS('Resumo Usinas (Histórico)'!$C$5:$C$500,"7030869065",'Resumo Usinas (Histórico)'!$H$5:$H$500,A36)=0,"",SUMIFS('Resumo Usinas (Histórico)'!$L$5:$L$500,'Resumo Usinas (Histórico)'!$C$5:$C$500,"7030869065",'Resumo Usinas (Histórico)'!$H$5:$H$500,A36))</f>
        <v/>
      </c>
      <c r="E36" s="13" t="str">
        <f>IF(COUNTIFS('Resumo Usinas (Histórico)'!$C$5:$C$500,"7030869294",'Resumo Usinas (Histórico)'!$H$5:$H$500,A36)=0,"",SUMIFS('Resumo Usinas (Histórico)'!$L$5:$L$500,'Resumo Usinas (Histórico)'!$C$5:$C$500,"7030869294",'Resumo Usinas (Histórico)'!$H$5:$H$500,A36))</f>
        <v/>
      </c>
    </row>
    <row r="37" spans="1:5" x14ac:dyDescent="0.2">
      <c r="A37" s="12">
        <f t="shared" si="0"/>
        <v>47150</v>
      </c>
      <c r="B37" s="13" t="str">
        <f>IF(COUNTIFS('Resumo Usinas (Histórico)'!$C$5:$C$500,"7030102643",'Resumo Usinas (Histórico)'!$H$5:$H$500,A37)=0,"",SUMIFS('Resumo Usinas (Histórico)'!$L$5:$L$500,'Resumo Usinas (Histórico)'!$C$5:$C$500,"7030102643",'Resumo Usinas (Histórico)'!$H$5:$H$500,A37))</f>
        <v/>
      </c>
      <c r="C37" s="13" t="str">
        <f>IF(COUNTIFS('Resumo Usinas (Histórico)'!$C$5:$C$500,"7030869049",'Resumo Usinas (Histórico)'!$H$5:$H$500,A37)=0,"",SUMIFS('Resumo Usinas (Histórico)'!$L$5:$L$500,'Resumo Usinas (Histórico)'!$C$5:$C$500,"7030869049",'Resumo Usinas (Histórico)'!$H$5:$H$500,A37))</f>
        <v/>
      </c>
      <c r="D37" s="13" t="str">
        <f>IF(COUNTIFS('Resumo Usinas (Histórico)'!$C$5:$C$500,"7030869065",'Resumo Usinas (Histórico)'!$H$5:$H$500,A37)=0,"",SUMIFS('Resumo Usinas (Histórico)'!$L$5:$L$500,'Resumo Usinas (Histórico)'!$C$5:$C$500,"7030869065",'Resumo Usinas (Histórico)'!$H$5:$H$500,A37))</f>
        <v/>
      </c>
      <c r="E37" s="13" t="str">
        <f>IF(COUNTIFS('Resumo Usinas (Histórico)'!$C$5:$C$500,"7030869294",'Resumo Usinas (Histórico)'!$H$5:$H$500,A37)=0,"",SUMIFS('Resumo Usinas (Histórico)'!$L$5:$L$500,'Resumo Usinas (Histórico)'!$C$5:$C$500,"7030869294",'Resumo Usinas (Histórico)'!$H$5:$H$500,A37))</f>
        <v/>
      </c>
    </row>
    <row r="38" spans="1:5" x14ac:dyDescent="0.2">
      <c r="A38" s="12">
        <f t="shared" si="0"/>
        <v>47178</v>
      </c>
      <c r="B38" s="13" t="str">
        <f>IF(COUNTIFS('Resumo Usinas (Histórico)'!$C$5:$C$500,"7030102643",'Resumo Usinas (Histórico)'!$H$5:$H$500,A38)=0,"",SUMIFS('Resumo Usinas (Histórico)'!$L$5:$L$500,'Resumo Usinas (Histórico)'!$C$5:$C$500,"7030102643",'Resumo Usinas (Histórico)'!$H$5:$H$500,A38))</f>
        <v/>
      </c>
      <c r="C38" s="13" t="str">
        <f>IF(COUNTIFS('Resumo Usinas (Histórico)'!$C$5:$C$500,"7030869049",'Resumo Usinas (Histórico)'!$H$5:$H$500,A38)=0,"",SUMIFS('Resumo Usinas (Histórico)'!$L$5:$L$500,'Resumo Usinas (Histórico)'!$C$5:$C$500,"7030869049",'Resumo Usinas (Histórico)'!$H$5:$H$500,A38))</f>
        <v/>
      </c>
      <c r="D38" s="13" t="str">
        <f>IF(COUNTIFS('Resumo Usinas (Histórico)'!$C$5:$C$500,"7030869065",'Resumo Usinas (Histórico)'!$H$5:$H$500,A38)=0,"",SUMIFS('Resumo Usinas (Histórico)'!$L$5:$L$500,'Resumo Usinas (Histórico)'!$C$5:$C$500,"7030869065",'Resumo Usinas (Histórico)'!$H$5:$H$500,A38))</f>
        <v/>
      </c>
      <c r="E38" s="13" t="str">
        <f>IF(COUNTIFS('Resumo Usinas (Histórico)'!$C$5:$C$500,"7030869294",'Resumo Usinas (Histórico)'!$H$5:$H$500,A38)=0,"",SUMIFS('Resumo Usinas (Histórico)'!$L$5:$L$500,'Resumo Usinas (Histórico)'!$C$5:$C$500,"7030869294",'Resumo Usinas (Histórico)'!$H$5:$H$500,A38))</f>
        <v/>
      </c>
    </row>
    <row r="39" spans="1:5" x14ac:dyDescent="0.2">
      <c r="A39" s="12">
        <f t="shared" si="0"/>
        <v>47209</v>
      </c>
      <c r="B39" s="13" t="str">
        <f>IF(COUNTIFS('Resumo Usinas (Histórico)'!$C$5:$C$500,"7030102643",'Resumo Usinas (Histórico)'!$H$5:$H$500,A39)=0,"",SUMIFS('Resumo Usinas (Histórico)'!$L$5:$L$500,'Resumo Usinas (Histórico)'!$C$5:$C$500,"7030102643",'Resumo Usinas (Histórico)'!$H$5:$H$500,A39))</f>
        <v/>
      </c>
      <c r="C39" s="13" t="str">
        <f>IF(COUNTIFS('Resumo Usinas (Histórico)'!$C$5:$C$500,"7030869049",'Resumo Usinas (Histórico)'!$H$5:$H$500,A39)=0,"",SUMIFS('Resumo Usinas (Histórico)'!$L$5:$L$500,'Resumo Usinas (Histórico)'!$C$5:$C$500,"7030869049",'Resumo Usinas (Histórico)'!$H$5:$H$500,A39))</f>
        <v/>
      </c>
      <c r="D39" s="13" t="str">
        <f>IF(COUNTIFS('Resumo Usinas (Histórico)'!$C$5:$C$500,"7030869065",'Resumo Usinas (Histórico)'!$H$5:$H$500,A39)=0,"",SUMIFS('Resumo Usinas (Histórico)'!$L$5:$L$500,'Resumo Usinas (Histórico)'!$C$5:$C$500,"7030869065",'Resumo Usinas (Histórico)'!$H$5:$H$500,A39))</f>
        <v/>
      </c>
      <c r="E39" s="13" t="str">
        <f>IF(COUNTIFS('Resumo Usinas (Histórico)'!$C$5:$C$500,"7030869294",'Resumo Usinas (Histórico)'!$H$5:$H$500,A39)=0,"",SUMIFS('Resumo Usinas (Histórico)'!$L$5:$L$500,'Resumo Usinas (Histórico)'!$C$5:$C$500,"7030869294",'Resumo Usinas (Histórico)'!$H$5:$H$500,A39))</f>
        <v/>
      </c>
    </row>
    <row r="40" spans="1:5" x14ac:dyDescent="0.2">
      <c r="A40" s="12">
        <f t="shared" si="0"/>
        <v>47239</v>
      </c>
      <c r="B40" s="13" t="str">
        <f>IF(COUNTIFS('Resumo Usinas (Histórico)'!$C$5:$C$500,"7030102643",'Resumo Usinas (Histórico)'!$H$5:$H$500,A40)=0,"",SUMIFS('Resumo Usinas (Histórico)'!$L$5:$L$500,'Resumo Usinas (Histórico)'!$C$5:$C$500,"7030102643",'Resumo Usinas (Histórico)'!$H$5:$H$500,A40))</f>
        <v/>
      </c>
      <c r="C40" s="13" t="str">
        <f>IF(COUNTIFS('Resumo Usinas (Histórico)'!$C$5:$C$500,"7030869049",'Resumo Usinas (Histórico)'!$H$5:$H$500,A40)=0,"",SUMIFS('Resumo Usinas (Histórico)'!$L$5:$L$500,'Resumo Usinas (Histórico)'!$C$5:$C$500,"7030869049",'Resumo Usinas (Histórico)'!$H$5:$H$500,A40))</f>
        <v/>
      </c>
      <c r="D40" s="13" t="str">
        <f>IF(COUNTIFS('Resumo Usinas (Histórico)'!$C$5:$C$500,"7030869065",'Resumo Usinas (Histórico)'!$H$5:$H$500,A40)=0,"",SUMIFS('Resumo Usinas (Histórico)'!$L$5:$L$500,'Resumo Usinas (Histórico)'!$C$5:$C$500,"7030869065",'Resumo Usinas (Histórico)'!$H$5:$H$500,A40))</f>
        <v/>
      </c>
      <c r="E40" s="13" t="str">
        <f>IF(COUNTIFS('Resumo Usinas (Histórico)'!$C$5:$C$500,"7030869294",'Resumo Usinas (Histórico)'!$H$5:$H$500,A40)=0,"",SUMIFS('Resumo Usinas (Histórico)'!$L$5:$L$500,'Resumo Usinas (Histórico)'!$C$5:$C$500,"7030869294",'Resumo Usinas (Histórico)'!$H$5:$H$500,A40))</f>
        <v/>
      </c>
    </row>
    <row r="41" spans="1:5" x14ac:dyDescent="0.2">
      <c r="A41" s="12">
        <f t="shared" si="0"/>
        <v>47270</v>
      </c>
      <c r="B41" s="13" t="str">
        <f>IF(COUNTIFS('Resumo Usinas (Histórico)'!$C$5:$C$500,"7030102643",'Resumo Usinas (Histórico)'!$H$5:$H$500,A41)=0,"",SUMIFS('Resumo Usinas (Histórico)'!$L$5:$L$500,'Resumo Usinas (Histórico)'!$C$5:$C$500,"7030102643",'Resumo Usinas (Histórico)'!$H$5:$H$500,A41))</f>
        <v/>
      </c>
      <c r="C41" s="13" t="str">
        <f>IF(COUNTIFS('Resumo Usinas (Histórico)'!$C$5:$C$500,"7030869049",'Resumo Usinas (Histórico)'!$H$5:$H$500,A41)=0,"",SUMIFS('Resumo Usinas (Histórico)'!$L$5:$L$500,'Resumo Usinas (Histórico)'!$C$5:$C$500,"7030869049",'Resumo Usinas (Histórico)'!$H$5:$H$500,A41))</f>
        <v/>
      </c>
      <c r="D41" s="13" t="str">
        <f>IF(COUNTIFS('Resumo Usinas (Histórico)'!$C$5:$C$500,"7030869065",'Resumo Usinas (Histórico)'!$H$5:$H$500,A41)=0,"",SUMIFS('Resumo Usinas (Histórico)'!$L$5:$L$500,'Resumo Usinas (Histórico)'!$C$5:$C$500,"7030869065",'Resumo Usinas (Histórico)'!$H$5:$H$500,A41))</f>
        <v/>
      </c>
      <c r="E41" s="13" t="str">
        <f>IF(COUNTIFS('Resumo Usinas (Histórico)'!$C$5:$C$500,"7030869294",'Resumo Usinas (Histórico)'!$H$5:$H$500,A41)=0,"",SUMIFS('Resumo Usinas (Histórico)'!$L$5:$L$500,'Resumo Usinas (Histórico)'!$C$5:$C$500,"7030869294",'Resumo Usinas (Histórico)'!$H$5:$H$500,A41))</f>
        <v/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Preco (R$ x KWh)</vt:lpstr>
      <vt:lpstr>Dashboard</vt:lpstr>
      <vt:lpstr>Faturamento (Não Editar)</vt:lpstr>
      <vt:lpstr>Resumo Usinas (Histórico)</vt:lpstr>
      <vt:lpstr>Rateio de Crédito</vt:lpstr>
      <vt:lpstr>Dados Mensais (Histórico)</vt:lpstr>
      <vt:lpstr>Auxiliar (Não Editar)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LT Soluções Corporativas</cp:lastModifiedBy>
  <cp:revision>1</cp:revision>
  <dcterms:created xsi:type="dcterms:W3CDTF">2026-07-17T17:52:19Z</dcterms:created>
  <dcterms:modified xsi:type="dcterms:W3CDTF">2026-10-28T19:50:41Z</dcterms:modified>
  <dc:language>en-US</dc:language>
</cp:coreProperties>
</file>