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pte Banque" sheetId="1" state="visible" r:id="rId1"/>
    <sheet xmlns:r="http://schemas.openxmlformats.org/officeDocument/2006/relationships" name="COMPTAB" sheetId="2" state="visible" r:id="rId2"/>
    <sheet xmlns:r="http://schemas.openxmlformats.org/officeDocument/2006/relationships" name="Pivot" sheetId="3" state="visible" r:id="rId3"/>
    <sheet xmlns:r="http://schemas.openxmlformats.org/officeDocument/2006/relationships" name="Transfer" sheetId="4" state="visible" r:id="rId4"/>
    <sheet xmlns:r="http://schemas.openxmlformats.org/officeDocument/2006/relationships" name="Frais anticipés" sheetId="5" state="visible" r:id="rId5"/>
    <sheet xmlns:r="http://schemas.openxmlformats.org/officeDocument/2006/relationships" name="Participation Fee" sheetId="6" state="visible" r:id="rId6"/>
  </sheets>
  <externalReferences>
    <externalReference xmlns:r="http://schemas.openxmlformats.org/officeDocument/2006/relationships" r:id="rId8"/>
  </externalReferences>
  <definedNames>
    <definedName name="aaa">#REF!</definedName>
    <definedName name="Anniversaire">#REF!,#REF!,#REF!,#REF!</definedName>
    <definedName name="CAP1E">#REF!</definedName>
    <definedName name="CapitFIXE">#REF!</definedName>
    <definedName name="Changement_de_taux">#REF!</definedName>
    <definedName name="Cout_Total">#REF!</definedName>
    <definedName name="DATDB">#REF!</definedName>
    <definedName name="DebAmort">#REF!</definedName>
    <definedName name="Différé">#REF!</definedName>
    <definedName name="DiffSimple">#REF!</definedName>
    <definedName name="DiffTotal">#REF!</definedName>
    <definedName name="EchFIXE">#REF!</definedName>
    <definedName name="FraisF">#REF!</definedName>
    <definedName name="FraisV">#REF!</definedName>
    <definedName name="Ijour">#REF!</definedName>
    <definedName name="Imois">#REF!</definedName>
    <definedName name="INT1E">#REF!</definedName>
    <definedName name="Jour1">#REF!</definedName>
    <definedName name="Jour2">#REF!</definedName>
    <definedName name="MoisD">#REF!</definedName>
    <definedName name="MtEch">#REF!</definedName>
    <definedName name="MtEmprunt">#REF!</definedName>
    <definedName name="NbDeci">#REF!</definedName>
    <definedName name="NbEch">#REF!</definedName>
    <definedName name="NbEchAn">#REF!</definedName>
    <definedName name="NoEchMaxi">#REF!</definedName>
    <definedName name="NoEchRemb">#REF!</definedName>
    <definedName name="Nombre_échéances">#REF!</definedName>
    <definedName name="Periodicite">#REF!</definedName>
    <definedName name="RVDebit">#REF!</definedName>
    <definedName name="TauxActuariel">#REF!</definedName>
    <definedName name="Total_Capital">#REF!</definedName>
    <definedName name="Total_Frais">#REF!</definedName>
    <definedName name="Total_Intérêts">#REF!</definedName>
    <definedName name="TVDebit">#REF!</definedName>
    <definedName name="TxPer">#REF!</definedName>
    <definedName name="CapitFIXE" localSheetId="0">#REF!</definedName>
    <definedName name="RVDebit" localSheetId="0">#REF!</definedName>
    <definedName name="_xlnm._FilterDatabase" localSheetId="0" hidden="1">'Compte Banque'!$B$6:$R$72</definedName>
    <definedName name="_xlnm.Print_Area" localSheetId="0">'Compte Banque'!$J$42:$Q$52</definedName>
    <definedName name="aaa" localSheetId="1">#REF!</definedName>
    <definedName name="Anniversaire" localSheetId="1">#REF!,#REF!,#REF!,#REF!</definedName>
    <definedName name="CAP1E" localSheetId="1">#REF!</definedName>
    <definedName name="CapitFIXE" localSheetId="1">#REF!</definedName>
    <definedName name="Changement_de_taux" localSheetId="1">#REF!</definedName>
    <definedName name="Cout_Total" localSheetId="1">#REF!</definedName>
    <definedName name="DATDB" localSheetId="1">#REF!</definedName>
    <definedName name="DebAmort" localSheetId="1">#REF!</definedName>
    <definedName name="Différé" localSheetId="1">#REF!</definedName>
    <definedName name="DiffSimple" localSheetId="1">#REF!</definedName>
    <definedName name="DiffTotal" localSheetId="1">#REF!</definedName>
    <definedName name="EchFIXE" localSheetId="1">#REF!</definedName>
    <definedName name="FraisF" localSheetId="1">#REF!</definedName>
    <definedName name="FraisV" localSheetId="1">#REF!</definedName>
    <definedName name="Ijour" localSheetId="1">#REF!</definedName>
    <definedName name="Imois" localSheetId="1">#REF!</definedName>
    <definedName name="INT1E" localSheetId="1">#REF!</definedName>
    <definedName name="Jour1" localSheetId="1">#REF!</definedName>
    <definedName name="Jour2" localSheetId="1">#REF!</definedName>
    <definedName name="MoisD" localSheetId="1">#REF!</definedName>
    <definedName name="MtEch" localSheetId="1">#REF!</definedName>
    <definedName name="MtEmprunt" localSheetId="1">#REF!</definedName>
    <definedName name="NbDeci" localSheetId="1">#REF!</definedName>
    <definedName name="NbEch" localSheetId="1">#REF!</definedName>
    <definedName name="NbEchAn" localSheetId="1">#REF!</definedName>
    <definedName name="NoEchMaxi" localSheetId="1">#REF!</definedName>
    <definedName name="NoEchRemb" localSheetId="1">#REF!</definedName>
    <definedName name="Nombre_échéances" localSheetId="1">#REF!</definedName>
    <definedName name="Periodicite" localSheetId="1">#REF!</definedName>
    <definedName name="RVDebit" localSheetId="1">#REF!</definedName>
    <definedName name="TauxActuariel" localSheetId="1">#REF!</definedName>
    <definedName name="Total_Capital" localSheetId="1">#REF!</definedName>
    <definedName name="Total_Frais" localSheetId="1">#REF!</definedName>
    <definedName name="Total_Intérêts" localSheetId="1">#REF!</definedName>
    <definedName name="TVDebit" localSheetId="1">#REF!</definedName>
    <definedName name="TxPer" localSheetId="1">#REF!</definedName>
    <definedName name="_xlnm._FilterDatabase" localSheetId="1" hidden="1">'COMPTAB'!$A$1:$Y$70</definedName>
    <definedName name="_xlnm.Print_Area" localSheetId="4">'Frais anticipés'!$B$2:$N$15</definedName>
    <definedName name="_xlnm.Print_Area" localSheetId="5">'Participation Fee'!$B$1:$O$45</definedName>
  </definedNames>
  <calcPr calcId="191029" fullCalcOnLoad="1"/>
  <pivotCaches>
    <pivotCache xmlns:r="http://schemas.openxmlformats.org/officeDocument/2006/relationships" cacheId="0" r:id="rId7"/>
  </pivotCaches>
</workbook>
</file>

<file path=xl/styles.xml><?xml version="1.0" encoding="utf-8"?>
<styleSheet xmlns="http://schemas.openxmlformats.org/spreadsheetml/2006/main">
  <numFmts count="17">
    <numFmt numFmtId="164" formatCode="#,##0.00\ &quot;€&quot;;[Red]\-#,##0.00\ &quot;€&quot;"/>
    <numFmt numFmtId="165" formatCode="[$$-409]#,##0.00_ ;[Red]\-[$$-409]#,##0.00\ "/>
    <numFmt numFmtId="166" formatCode="0.0000"/>
    <numFmt numFmtId="167" formatCode="&quot;€&quot;\ #,##0.00;[Red]\-&quot;€&quot;\ #,##0.00"/>
    <numFmt numFmtId="168" formatCode="[$R$ -416]#,##0.00_ ;[Red]\-[$R$ -416]#,##0.00\ "/>
    <numFmt numFmtId="169" formatCode="0.000000"/>
    <numFmt numFmtId="170" formatCode="[$R$-416]\ #,##0.00;[Red]\-[$R$-416]\ #,##0.00"/>
    <numFmt numFmtId="171" formatCode="#,##0.00\ &quot;€&quot;"/>
    <numFmt numFmtId="172" formatCode="0.0000%"/>
    <numFmt numFmtId="173" formatCode="0.000000000000"/>
    <numFmt numFmtId="174" formatCode="yyyy-mm-dd h:mm:ss"/>
    <numFmt numFmtId="175" formatCode="#,##0.00;\-#,##0.00;&quot;&quot;"/>
    <numFmt numFmtId="176" formatCode="#,##0.00;\-#,##0.00;\-"/>
    <numFmt numFmtId="177" formatCode="_-* #,##0.00_-;_-* #,##0.00\-;_-* &quot;-&quot;??_-;_-@_-"/>
    <numFmt numFmtId="178" formatCode="_-* #,##0.00\ _€_-;\-* #,##0.00\ _€_-;_-* &quot;-&quot;??\ _€_-;_-@_-"/>
    <numFmt numFmtId="179" formatCode="_(&quot;R$ &quot;* #,##0.00_);_(&quot;R$ &quot;* \(#,##0.00\);_(&quot;R$ &quot;* &quot;-&quot;??_);_(@_)"/>
    <numFmt numFmtId="180" formatCode="_-&quot;€&quot;\ * #,##0.00_-;\-&quot;€&quot;\ * #,##0.00_-;_-&quot;€&quot;\ * &quot;-&quot;??_-;_-@_-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Arial"/>
      <family val="2"/>
      <color indexed="9"/>
      <sz val="10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Arial"/>
      <family val="2"/>
      <sz val="10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Gatineau"/>
      <sz val="12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b val="1"/>
      <color indexed="8"/>
      <sz val="11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5">
    <xf numFmtId="0" fontId="1" fillId="0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3" borderId="0"/>
    <xf numFmtId="0" fontId="3" fillId="3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6" borderId="0"/>
    <xf numFmtId="0" fontId="3" fillId="9" borderId="0"/>
    <xf numFmtId="0" fontId="3" fillId="12" borderId="0"/>
    <xf numFmtId="0" fontId="3" fillId="9" borderId="0"/>
    <xf numFmtId="0" fontId="3" fillId="9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6" borderId="0"/>
    <xf numFmtId="0" fontId="3" fillId="6" borderId="0"/>
    <xf numFmtId="0" fontId="3" fillId="9" borderId="0"/>
    <xf numFmtId="0" fontId="3" fillId="9" borderId="0"/>
    <xf numFmtId="0" fontId="3" fillId="12" borderId="0"/>
    <xf numFmtId="0" fontId="3" fillId="12" borderId="0"/>
    <xf numFmtId="0" fontId="4" fillId="13" borderId="0"/>
    <xf numFmtId="0" fontId="4" fillId="10" borderId="0"/>
    <xf numFmtId="0" fontId="4" fillId="11" borderId="0"/>
    <xf numFmtId="0" fontId="4" fillId="14" borderId="0"/>
    <xf numFmtId="0" fontId="4" fillId="15" borderId="0"/>
    <xf numFmtId="0" fontId="4" fillId="16" borderId="0"/>
    <xf numFmtId="0" fontId="4" fillId="13" borderId="0"/>
    <xf numFmtId="0" fontId="4" fillId="13" borderId="0"/>
    <xf numFmtId="0" fontId="4" fillId="10" borderId="0"/>
    <xf numFmtId="0" fontId="4" fillId="10" borderId="0"/>
    <xf numFmtId="0" fontId="4" fillId="11" borderId="0"/>
    <xf numFmtId="0" fontId="4" fillId="11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6" borderId="0"/>
    <xf numFmtId="0" fontId="4" fillId="16" borderId="0"/>
    <xf numFmtId="0" fontId="5" fillId="5" borderId="0"/>
    <xf numFmtId="0" fontId="5" fillId="5" borderId="0"/>
    <xf numFmtId="0" fontId="6" fillId="17" borderId="2"/>
    <xf numFmtId="0" fontId="6" fillId="17" borderId="2"/>
    <xf numFmtId="0" fontId="6" fillId="17" borderId="2"/>
    <xf numFmtId="175" fontId="7" fillId="18" borderId="3" applyAlignment="1">
      <alignment wrapText="1"/>
    </xf>
    <xf numFmtId="176" fontId="7" fillId="18" borderId="3" applyAlignment="1">
      <alignment wrapText="1"/>
    </xf>
    <xf numFmtId="0" fontId="8" fillId="0" borderId="4"/>
    <xf numFmtId="0" fontId="9" fillId="19" borderId="5"/>
    <xf numFmtId="0" fontId="9" fillId="19" borderId="5"/>
    <xf numFmtId="0" fontId="9" fillId="19" borderId="5"/>
    <xf numFmtId="0" fontId="8" fillId="0" borderId="4"/>
    <xf numFmtId="0" fontId="8" fillId="0" borderId="4"/>
    <xf numFmtId="0" fontId="4" fillId="20" borderId="0"/>
    <xf numFmtId="0" fontId="4" fillId="21" borderId="0"/>
    <xf numFmtId="0" fontId="4" fillId="22" borderId="0"/>
    <xf numFmtId="0" fontId="4" fillId="14" borderId="0"/>
    <xf numFmtId="0" fontId="4" fillId="15" borderId="0"/>
    <xf numFmtId="0" fontId="4" fillId="23" borderId="0"/>
    <xf numFmtId="177" fontId="10" fillId="0" borderId="0"/>
    <xf numFmtId="178" fontId="1" fillId="0" borderId="0"/>
    <xf numFmtId="178" fontId="10" fillId="0" borderId="0"/>
    <xf numFmtId="179" fontId="1" fillId="0" borderId="0"/>
    <xf numFmtId="44" fontId="10" fillId="0" borderId="0"/>
    <xf numFmtId="44" fontId="10" fillId="0" borderId="0"/>
    <xf numFmtId="44" fontId="10" fillId="0" borderId="0"/>
    <xf numFmtId="0" fontId="4" fillId="20" borderId="0"/>
    <xf numFmtId="0" fontId="4" fillId="20" borderId="0"/>
    <xf numFmtId="0" fontId="4" fillId="21" borderId="0"/>
    <xf numFmtId="0" fontId="4" fillId="21" borderId="0"/>
    <xf numFmtId="0" fontId="4" fillId="22" borderId="0"/>
    <xf numFmtId="0" fontId="4" fillId="22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23" borderId="0"/>
    <xf numFmtId="0" fontId="4" fillId="23" borderId="0"/>
    <xf numFmtId="0" fontId="11" fillId="8" borderId="2"/>
    <xf numFmtId="0" fontId="11" fillId="8" borderId="2"/>
    <xf numFmtId="180" fontId="10" fillId="0" borderId="0"/>
    <xf numFmtId="180" fontId="10" fillId="0" borderId="0"/>
    <xf numFmtId="0" fontId="12" fillId="4" borderId="0"/>
    <xf numFmtId="0" fontId="12" fillId="4" borderId="0"/>
    <xf numFmtId="0" fontId="13" fillId="24" borderId="0"/>
    <xf numFmtId="0" fontId="13" fillId="24" borderId="0"/>
    <xf numFmtId="0" fontId="13" fillId="24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0" fillId="25" borderId="6"/>
    <xf numFmtId="0" fontId="10" fillId="25" borderId="6"/>
    <xf numFmtId="0" fontId="10" fillId="25" borderId="6"/>
    <xf numFmtId="9" fontId="10" fillId="0" borderId="0"/>
    <xf numFmtId="9" fontId="14" fillId="0" borderId="0"/>
    <xf numFmtId="0" fontId="15" fillId="17" borderId="7"/>
    <xf numFmtId="0" fontId="15" fillId="17" borderId="7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9" fillId="0" borderId="8"/>
    <xf numFmtId="0" fontId="20" fillId="0" borderId="9"/>
    <xf numFmtId="0" fontId="21" fillId="0" borderId="10"/>
    <xf numFmtId="0" fontId="21" fillId="0" borderId="0"/>
    <xf numFmtId="0" fontId="18" fillId="0" borderId="0"/>
    <xf numFmtId="0" fontId="19" fillId="0" borderId="8"/>
    <xf numFmtId="0" fontId="19" fillId="0" borderId="8"/>
    <xf numFmtId="0" fontId="20" fillId="0" borderId="9"/>
    <xf numFmtId="0" fontId="20" fillId="0" borderId="9"/>
    <xf numFmtId="0" fontId="21" fillId="0" borderId="10"/>
    <xf numFmtId="0" fontId="21" fillId="0" borderId="10"/>
    <xf numFmtId="0" fontId="21" fillId="0" borderId="0"/>
    <xf numFmtId="0" fontId="21" fillId="0" borderId="0"/>
    <xf numFmtId="0" fontId="18" fillId="0" borderId="0"/>
    <xf numFmtId="0" fontId="22" fillId="0" borderId="11"/>
    <xf numFmtId="0" fontId="12" fillId="4" borderId="0"/>
    <xf numFmtId="0" fontId="5" fillId="5" borderId="0"/>
  </cellStyleXfs>
  <cellXfs count="254">
    <xf numFmtId="0" fontId="0" fillId="0" borderId="0" pivotButton="0" quotePrefix="0" xfId="0"/>
    <xf numFmtId="14" fontId="2" fillId="2" borderId="1" applyAlignment="1" pivotButton="0" quotePrefix="0" xfId="0">
      <alignment horizontal="center"/>
    </xf>
    <xf numFmtId="1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10" fillId="0" borderId="0" applyAlignment="1" pivotButton="0" quotePrefix="0" xfId="102">
      <alignment horizontal="center"/>
    </xf>
    <xf numFmtId="0" fontId="10" fillId="0" borderId="0" pivotButton="0" quotePrefix="0" xfId="102"/>
    <xf numFmtId="164" fontId="10" fillId="0" borderId="0" pivotButton="0" quotePrefix="0" xfId="102"/>
    <xf numFmtId="164" fontId="24" fillId="0" borderId="0" pivotButton="0" quotePrefix="0" xfId="102"/>
    <xf numFmtId="0" fontId="24" fillId="0" borderId="0" pivotButton="0" quotePrefix="0" xfId="102"/>
    <xf numFmtId="0" fontId="0" fillId="0" borderId="18" pivotButton="0" quotePrefix="0" xfId="0"/>
    <xf numFmtId="10" fontId="2" fillId="2" borderId="1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10" fillId="0" borderId="0" applyAlignment="1" pivotButton="0" quotePrefix="0" xfId="102">
      <alignment horizontal="center" vertical="center"/>
    </xf>
    <xf numFmtId="0" fontId="10" fillId="0" borderId="0" applyAlignment="1" pivotButton="0" quotePrefix="0" xfId="102">
      <alignment vertical="center"/>
    </xf>
    <xf numFmtId="0" fontId="24" fillId="0" borderId="0" applyAlignment="1" pivotButton="0" quotePrefix="0" xfId="102">
      <alignment horizontal="center" vertical="center"/>
    </xf>
    <xf numFmtId="164" fontId="10" fillId="0" borderId="0" applyAlignment="1" pivotButton="0" quotePrefix="0" xfId="102">
      <alignment vertical="center"/>
    </xf>
    <xf numFmtId="164" fontId="24" fillId="0" borderId="0" applyAlignment="1" pivotButton="0" quotePrefix="0" xfId="102">
      <alignment vertical="center"/>
    </xf>
    <xf numFmtId="0" fontId="24" fillId="0" borderId="0" applyAlignment="1" pivotButton="0" quotePrefix="0" xfId="102">
      <alignment vertical="center"/>
    </xf>
    <xf numFmtId="0" fontId="25" fillId="0" borderId="0" applyAlignment="1" pivotButton="0" quotePrefix="0" xfId="102">
      <alignment horizontal="center" vertical="center"/>
    </xf>
    <xf numFmtId="0" fontId="10" fillId="0" borderId="15" applyAlignment="1" pivotButton="0" quotePrefix="0" xfId="102">
      <alignment horizontal="center" vertical="center"/>
    </xf>
    <xf numFmtId="14" fontId="10" fillId="0" borderId="0" applyAlignment="1" pivotButton="0" quotePrefix="0" xfId="102">
      <alignment horizontal="center" vertical="center"/>
    </xf>
    <xf numFmtId="164" fontId="24" fillId="26" borderId="16" applyAlignment="1" pivotButton="0" quotePrefix="0" xfId="102">
      <alignment vertical="center"/>
    </xf>
    <xf numFmtId="0" fontId="24" fillId="0" borderId="0" applyAlignment="1" pivotButton="0" quotePrefix="0" xfId="102">
      <alignment horizontal="left" vertical="center"/>
    </xf>
    <xf numFmtId="164" fontId="24" fillId="26" borderId="17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4" fillId="26" borderId="12" applyAlignment="1" pivotButton="0" quotePrefix="0" xfId="102">
      <alignment horizontal="center" vertical="center"/>
    </xf>
    <xf numFmtId="0" fontId="24" fillId="26" borderId="14" applyAlignment="1" pivotButton="0" quotePrefix="0" xfId="102">
      <alignment vertical="center"/>
    </xf>
    <xf numFmtId="0" fontId="24" fillId="26" borderId="14" applyAlignment="1" pivotButton="0" quotePrefix="0" xfId="102">
      <alignment horizontal="center" vertical="center"/>
    </xf>
    <xf numFmtId="164" fontId="24" fillId="26" borderId="14" applyAlignment="1" pivotButton="0" quotePrefix="0" xfId="102">
      <alignment vertical="center"/>
    </xf>
    <xf numFmtId="167" fontId="24" fillId="26" borderId="1" applyAlignment="1" pivotButton="0" quotePrefix="0" xfId="102">
      <alignment vertical="center"/>
    </xf>
    <xf numFmtId="0" fontId="0" fillId="0" borderId="0" applyAlignment="1" pivotButton="1" quotePrefix="0" xfId="0">
      <alignment horizontal="center"/>
    </xf>
    <xf numFmtId="0" fontId="0" fillId="2" borderId="0" pivotButton="0" quotePrefix="0" xfId="0"/>
    <xf numFmtId="165" fontId="2" fillId="2" borderId="1" applyAlignment="1" pivotButton="0" quotePrefix="0" xfId="0">
      <alignment horizontal="center"/>
    </xf>
    <xf numFmtId="164" fontId="24" fillId="2" borderId="19" applyAlignment="1" pivotButton="0" quotePrefix="0" xfId="0">
      <alignment horizontal="right"/>
    </xf>
    <xf numFmtId="168" fontId="0" fillId="0" borderId="0" pivotButton="0" quotePrefix="0" xfId="0"/>
    <xf numFmtId="0" fontId="10" fillId="0" borderId="0" applyAlignment="1" pivotButton="0" quotePrefix="0" xfId="102">
      <alignment horizontal="left" vertical="center"/>
    </xf>
    <xf numFmtId="0" fontId="10" fillId="26" borderId="14" applyAlignment="1" pivotButton="0" quotePrefix="0" xfId="102">
      <alignment horizontal="center" vertical="center"/>
    </xf>
    <xf numFmtId="10" fontId="10" fillId="0" borderId="1" applyAlignment="1" pivotButton="0" quotePrefix="0" xfId="102">
      <alignment horizontal="center" vertical="center"/>
    </xf>
    <xf numFmtId="0" fontId="24" fillId="0" borderId="0" applyAlignment="1" pivotButton="0" quotePrefix="0" xfId="102">
      <alignment horizontal="center" vertical="center" wrapText="1"/>
    </xf>
    <xf numFmtId="0" fontId="24" fillId="0" borderId="12" applyAlignment="1" pivotButton="0" quotePrefix="0" xfId="102">
      <alignment horizontal="center" vertical="center" wrapText="1"/>
    </xf>
    <xf numFmtId="0" fontId="24" fillId="0" borderId="14" applyAlignment="1" pivotButton="0" quotePrefix="0" xfId="102">
      <alignment horizontal="center" vertical="center" wrapText="1"/>
    </xf>
    <xf numFmtId="0" fontId="10" fillId="0" borderId="14" applyAlignment="1" pivotButton="0" quotePrefix="0" xfId="102">
      <alignment horizontal="center" vertical="center" wrapText="1"/>
    </xf>
    <xf numFmtId="164" fontId="24" fillId="0" borderId="14" applyAlignment="1" pivotButton="0" quotePrefix="0" xfId="102">
      <alignment horizontal="center" vertical="center" wrapText="1"/>
    </xf>
    <xf numFmtId="49" fontId="2" fillId="2" borderId="1" applyAlignment="1" pivotButton="0" quotePrefix="0" xfId="0">
      <alignment horizontal="center"/>
    </xf>
    <xf numFmtId="49" fontId="0" fillId="0" borderId="0" pivotButton="0" quotePrefix="0" xfId="0"/>
    <xf numFmtId="0" fontId="23" fillId="0" borderId="0" applyAlignment="1" pivotButton="0" quotePrefix="0" xfId="102">
      <alignment horizontal="left" vertical="center"/>
    </xf>
    <xf numFmtId="49" fontId="10" fillId="0" borderId="0" applyAlignment="1" pivotButton="0" quotePrefix="0" xfId="102">
      <alignment horizontal="center" vertical="center"/>
    </xf>
    <xf numFmtId="49" fontId="25" fillId="0" borderId="0" applyAlignment="1" pivotButton="0" quotePrefix="0" xfId="102">
      <alignment horizontal="center" vertical="center"/>
    </xf>
    <xf numFmtId="49" fontId="24" fillId="26" borderId="14" applyAlignment="1" pivotButton="0" quotePrefix="0" xfId="102">
      <alignment horizontal="center" vertical="center"/>
    </xf>
    <xf numFmtId="49" fontId="10" fillId="0" borderId="0" applyAlignment="1" pivotButton="0" quotePrefix="0" xfId="102">
      <alignment horizontal="center"/>
    </xf>
    <xf numFmtId="0" fontId="24" fillId="0" borderId="13" applyAlignment="1" pivotButton="0" quotePrefix="0" xfId="102">
      <alignment horizontal="center" vertical="center" wrapText="1"/>
    </xf>
    <xf numFmtId="0" fontId="23" fillId="0" borderId="0" applyAlignment="1" pivotButton="0" quotePrefix="0" xfId="102">
      <alignment horizontal="center" vertical="center"/>
    </xf>
    <xf numFmtId="0" fontId="23" fillId="0" borderId="0" applyAlignment="1" pivotButton="0" quotePrefix="0" xfId="102">
      <alignment horizontal="right" vertical="center"/>
    </xf>
    <xf numFmtId="0" fontId="23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2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164" fontId="10" fillId="0" borderId="18" applyAlignment="1" pivotButton="0" quotePrefix="0" xfId="102">
      <alignment vertical="center"/>
    </xf>
    <xf numFmtId="0" fontId="10" fillId="0" borderId="18" applyAlignment="1" pivotButton="0" quotePrefix="0" xfId="102">
      <alignment horizontal="center"/>
    </xf>
    <xf numFmtId="0" fontId="2" fillId="0" borderId="20" applyAlignment="1" pivotButton="0" quotePrefix="0" xfId="0">
      <alignment horizontal="center"/>
    </xf>
    <xf numFmtId="0" fontId="24" fillId="0" borderId="21" pivotButton="0" quotePrefix="0" xfId="102"/>
    <xf numFmtId="0" fontId="10" fillId="0" borderId="21" applyAlignment="1" pivotButton="0" quotePrefix="0" xfId="102">
      <alignment horizontal="center"/>
    </xf>
    <xf numFmtId="0" fontId="0" fillId="0" borderId="15" pivotButton="0" quotePrefix="0" xfId="0"/>
    <xf numFmtId="0" fontId="10" fillId="0" borderId="0" applyAlignment="1" pivotButton="0" quotePrefix="0" xfId="102">
      <alignment horizontal="left"/>
    </xf>
    <xf numFmtId="0" fontId="0" fillId="0" borderId="24" pivotButton="0" quotePrefix="0" xfId="0"/>
    <xf numFmtId="0" fontId="0" fillId="0" borderId="25" pivotButton="0" quotePrefix="0" xfId="0"/>
    <xf numFmtId="0" fontId="26" fillId="2" borderId="1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3"/>
    </xf>
    <xf numFmtId="170" fontId="24" fillId="2" borderId="1" pivotButton="0" quotePrefix="0" xfId="102"/>
    <xf numFmtId="164" fontId="24" fillId="2" borderId="1" applyAlignment="1" pivotButton="0" quotePrefix="0" xfId="102">
      <alignment vertical="center"/>
    </xf>
    <xf numFmtId="0" fontId="2" fillId="0" borderId="0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2" borderId="1" pivotButton="0" quotePrefix="0" xfId="0"/>
    <xf numFmtId="10" fontId="2" fillId="0" borderId="0" applyAlignment="1" pivotButton="0" quotePrefix="0" xfId="0">
      <alignment horizontal="center"/>
    </xf>
    <xf numFmtId="10" fontId="2" fillId="0" borderId="16" applyAlignment="1" pivotButton="0" quotePrefix="0" xfId="0">
      <alignment horizontal="center"/>
    </xf>
    <xf numFmtId="10" fontId="2" fillId="0" borderId="17" applyAlignment="1" pivotButton="0" quotePrefix="0" xfId="0">
      <alignment horizontal="center"/>
    </xf>
    <xf numFmtId="10" fontId="2" fillId="0" borderId="26" applyAlignment="1" pivotButton="0" quotePrefix="0" xfId="0">
      <alignment horizontal="center"/>
    </xf>
    <xf numFmtId="0" fontId="27" fillId="2" borderId="1" applyAlignment="1" pivotButton="0" quotePrefix="0" xfId="0">
      <alignment horizontal="center"/>
    </xf>
    <xf numFmtId="164" fontId="10" fillId="0" borderId="22" pivotButton="0" quotePrefix="0" xfId="102"/>
    <xf numFmtId="0" fontId="10" fillId="0" borderId="15" applyAlignment="1" pivotButton="0" quotePrefix="0" xfId="102">
      <alignment horizontal="center"/>
    </xf>
    <xf numFmtId="164" fontId="10" fillId="0" borderId="23" pivotButton="0" quotePrefix="0" xfId="102"/>
    <xf numFmtId="170" fontId="10" fillId="0" borderId="23" pivotButton="0" quotePrefix="0" xfId="102"/>
    <xf numFmtId="164" fontId="10" fillId="0" borderId="25" pivotButton="0" quotePrefix="0" xfId="102"/>
    <xf numFmtId="170" fontId="10" fillId="0" borderId="25" pivotButton="0" quotePrefix="0" xfId="102"/>
    <xf numFmtId="0" fontId="24" fillId="0" borderId="14" applyAlignment="1" pivotButton="0" quotePrefix="0" xfId="102">
      <alignment horizontal="left" vertical="center" wrapText="1"/>
    </xf>
    <xf numFmtId="49" fontId="24" fillId="0" borderId="14" applyAlignment="1" pivotButton="0" quotePrefix="0" xfId="102">
      <alignment horizontal="left" vertical="center" wrapText="1"/>
    </xf>
    <xf numFmtId="0" fontId="24" fillId="0" borderId="12" applyAlignment="1" pivotButton="0" quotePrefix="0" xfId="102">
      <alignment horizontal="left" vertical="center" wrapText="1"/>
    </xf>
    <xf numFmtId="164" fontId="24" fillId="0" borderId="14" applyAlignment="1" pivotButton="0" quotePrefix="0" xfId="102">
      <alignment horizontal="left" vertical="center" wrapText="1"/>
    </xf>
    <xf numFmtId="164" fontId="24" fillId="0" borderId="13" applyAlignment="1" pivotButton="0" quotePrefix="0" xfId="102">
      <alignment horizontal="left" vertical="center" wrapText="1"/>
    </xf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0" fillId="0" borderId="23" pivotButton="0" quotePrefix="0" xfId="0"/>
    <xf numFmtId="0" fontId="27" fillId="0" borderId="15" pivotButton="0" quotePrefix="0" xfId="0"/>
    <xf numFmtId="171" fontId="2" fillId="0" borderId="0" applyAlignment="1" pivotButton="0" quotePrefix="0" xfId="0">
      <alignment horizontal="center"/>
    </xf>
    <xf numFmtId="0" fontId="30" fillId="0" borderId="15" pivotButton="0" quotePrefix="0" xfId="0"/>
    <xf numFmtId="0" fontId="29" fillId="0" borderId="0" applyAlignment="1" pivotButton="0" quotePrefix="0" xfId="0">
      <alignment horizontal="right"/>
    </xf>
    <xf numFmtId="0" fontId="30" fillId="0" borderId="0" pivotButton="0" quotePrefix="0" xfId="0"/>
    <xf numFmtId="0" fontId="29" fillId="0" borderId="23" applyAlignment="1" pivotButton="0" quotePrefix="0" xfId="0">
      <alignment horizontal="center"/>
    </xf>
    <xf numFmtId="10" fontId="29" fillId="0" borderId="0" pivotButton="0" quotePrefix="0" xfId="0"/>
    <xf numFmtId="0" fontId="30" fillId="0" borderId="23" pivotButton="0" quotePrefix="0" xfId="0"/>
    <xf numFmtId="49" fontId="27" fillId="0" borderId="0" applyAlignment="1" pivotButton="0" quotePrefix="0" xfId="0">
      <alignment horizontal="right"/>
    </xf>
    <xf numFmtId="14" fontId="27" fillId="0" borderId="23" applyAlignment="1" pivotButton="0" quotePrefix="0" xfId="0">
      <alignment horizontal="center"/>
    </xf>
    <xf numFmtId="0" fontId="2" fillId="0" borderId="24" pivotButton="0" quotePrefix="0" xfId="0"/>
    <xf numFmtId="171" fontId="2" fillId="0" borderId="1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7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0" applyAlignment="1" pivotButton="0" quotePrefix="0" xfId="0">
      <alignment horizontal="center"/>
    </xf>
    <xf numFmtId="0" fontId="31" fillId="0" borderId="0" pivotButton="0" quotePrefix="0" xfId="0"/>
    <xf numFmtId="0" fontId="28" fillId="0" borderId="0" applyAlignment="1" pivotButton="0" quotePrefix="0" xfId="0">
      <alignment horizontal="center"/>
    </xf>
    <xf numFmtId="0" fontId="27" fillId="0" borderId="15" applyAlignment="1" pivotButton="0" quotePrefix="0" xfId="0">
      <alignment horizontal="center"/>
    </xf>
    <xf numFmtId="0" fontId="27" fillId="0" borderId="0" pivotButton="0" quotePrefix="0" xfId="0"/>
    <xf numFmtId="171" fontId="27" fillId="0" borderId="0" applyAlignment="1" pivotButton="0" quotePrefix="0" xfId="0">
      <alignment horizontal="right"/>
    </xf>
    <xf numFmtId="14" fontId="27" fillId="0" borderId="0" applyAlignment="1" pivotButton="0" quotePrefix="0" xfId="0">
      <alignment horizontal="center"/>
    </xf>
    <xf numFmtId="172" fontId="27" fillId="0" borderId="23" applyAlignment="1" pivotButton="0" quotePrefix="0" xfId="0">
      <alignment horizontal="right"/>
    </xf>
    <xf numFmtId="0" fontId="32" fillId="0" borderId="15" pivotButton="0" quotePrefix="0" xfId="0"/>
    <xf numFmtId="0" fontId="32" fillId="0" borderId="0" pivotButton="0" quotePrefix="0" xfId="0"/>
    <xf numFmtId="171" fontId="27" fillId="0" borderId="18" applyAlignment="1" pivotButton="0" quotePrefix="0" xfId="0">
      <alignment horizontal="right"/>
    </xf>
    <xf numFmtId="0" fontId="32" fillId="0" borderId="18" applyAlignment="1" pivotButton="0" quotePrefix="0" xfId="0">
      <alignment horizontal="center"/>
    </xf>
    <xf numFmtId="172" fontId="32" fillId="0" borderId="25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14" fontId="27" fillId="0" borderId="18" applyAlignment="1" pivotButton="0" quotePrefix="0" xfId="0">
      <alignment horizontal="center"/>
    </xf>
    <xf numFmtId="172" fontId="27" fillId="0" borderId="25" applyAlignment="1" pivotButton="0" quotePrefix="0" xfId="0">
      <alignment horizontal="right"/>
    </xf>
    <xf numFmtId="171" fontId="27" fillId="0" borderId="1" applyAlignment="1" pivotButton="0" quotePrefix="0" xfId="0">
      <alignment horizontal="right"/>
    </xf>
    <xf numFmtId="172" fontId="27" fillId="0" borderId="1" pivotButton="0" quotePrefix="0" xfId="0"/>
    <xf numFmtId="0" fontId="10" fillId="0" borderId="24" applyAlignment="1" pivotButton="0" quotePrefix="0" xfId="102">
      <alignment horizontal="center" vertical="center"/>
    </xf>
    <xf numFmtId="14" fontId="10" fillId="0" borderId="18" applyAlignment="1" pivotButton="0" quotePrefix="0" xfId="102">
      <alignment horizontal="center" vertical="center"/>
    </xf>
    <xf numFmtId="0" fontId="10" fillId="0" borderId="18" applyAlignment="1" pivotButton="0" quotePrefix="0" xfId="102">
      <alignment vertical="center"/>
    </xf>
    <xf numFmtId="0" fontId="24" fillId="0" borderId="18" applyAlignment="1" pivotButton="0" quotePrefix="0" xfId="102">
      <alignment horizontal="left" vertical="center"/>
    </xf>
    <xf numFmtId="0" fontId="10" fillId="0" borderId="18" applyAlignment="1" pivotButton="0" quotePrefix="0" xfId="102">
      <alignment horizontal="left" vertical="center"/>
    </xf>
    <xf numFmtId="49" fontId="10" fillId="0" borderId="18" applyAlignment="1" pivotButton="0" quotePrefix="0" xfId="102">
      <alignment horizontal="center" vertical="center"/>
    </xf>
    <xf numFmtId="164" fontId="24" fillId="26" borderId="26" applyAlignment="1" pivotButton="0" quotePrefix="0" xfId="0">
      <alignment vertical="center"/>
    </xf>
    <xf numFmtId="0" fontId="10" fillId="0" borderId="20" applyAlignment="1" pivotButton="0" quotePrefix="0" xfId="102">
      <alignment horizontal="center" vertical="center"/>
    </xf>
    <xf numFmtId="0" fontId="10" fillId="0" borderId="21" applyAlignment="1" pivotButton="0" quotePrefix="0" xfId="102">
      <alignment vertical="center"/>
    </xf>
    <xf numFmtId="0" fontId="10" fillId="0" borderId="21" applyAlignment="1" pivotButton="0" quotePrefix="0" xfId="102">
      <alignment horizontal="left" vertical="center"/>
    </xf>
    <xf numFmtId="14" fontId="10" fillId="0" borderId="21" applyAlignment="1" pivotButton="0" quotePrefix="0" xfId="102">
      <alignment horizontal="center" vertical="center"/>
    </xf>
    <xf numFmtId="164" fontId="0" fillId="0" borderId="21" pivotButton="0" quotePrefix="0" xfId="0"/>
    <xf numFmtId="10" fontId="0" fillId="0" borderId="21" applyAlignment="1" pivotButton="0" quotePrefix="0" xfId="0">
      <alignment horizontal="center"/>
    </xf>
    <xf numFmtId="164" fontId="0" fillId="0" borderId="22" pivotButton="0" quotePrefix="0" xfId="0"/>
    <xf numFmtId="164" fontId="0" fillId="0" borderId="23" pivotButton="0" quotePrefix="0" xfId="0"/>
    <xf numFmtId="164" fontId="0" fillId="0" borderId="18" pivotButton="0" quotePrefix="0" xfId="0"/>
    <xf numFmtId="10" fontId="0" fillId="0" borderId="18" applyAlignment="1" pivotButton="0" quotePrefix="0" xfId="0">
      <alignment horizontal="center"/>
    </xf>
    <xf numFmtId="164" fontId="0" fillId="0" borderId="25" pivotButton="0" quotePrefix="0" xfId="0"/>
    <xf numFmtId="14" fontId="0" fillId="0" borderId="18" applyAlignment="1" pivotButton="0" quotePrefix="0" xfId="0">
      <alignment horizontal="center"/>
    </xf>
    <xf numFmtId="1" fontId="0" fillId="0" borderId="18" applyAlignment="1" pivotButton="0" quotePrefix="0" xfId="0">
      <alignment horizontal="center"/>
    </xf>
    <xf numFmtId="168" fontId="0" fillId="0" borderId="18" pivotButton="0" quotePrefix="0" xfId="0"/>
    <xf numFmtId="166" fontId="0" fillId="0" borderId="18" applyAlignment="1" pivotButton="0" quotePrefix="0" xfId="0">
      <alignment horizontal="center"/>
    </xf>
    <xf numFmtId="49" fontId="0" fillId="0" borderId="18" pivotButton="0" quotePrefix="0" xfId="0"/>
    <xf numFmtId="0" fontId="30" fillId="0" borderId="0" applyAlignment="1" pivotButton="0" quotePrefix="0" xfId="0">
      <alignment horizontal="center"/>
    </xf>
    <xf numFmtId="164" fontId="10" fillId="0" borderId="0" applyAlignment="1" pivotButton="0" quotePrefix="0" xfId="102">
      <alignment horizontal="left" vertical="center"/>
    </xf>
    <xf numFmtId="14" fontId="10" fillId="0" borderId="0" applyAlignment="1" pivotButton="0" quotePrefix="0" xfId="102">
      <alignment horizontal="center"/>
    </xf>
    <xf numFmtId="0" fontId="24" fillId="0" borderId="0" applyAlignment="1" pivotButton="0" quotePrefix="0" xfId="102">
      <alignment horizontal="left"/>
    </xf>
    <xf numFmtId="173" fontId="10" fillId="0" borderId="0" applyAlignment="1" pivotButton="0" quotePrefix="0" xfId="102">
      <alignment horizontal="center"/>
    </xf>
    <xf numFmtId="0" fontId="10" fillId="0" borderId="0" applyAlignment="1" pivotButton="0" quotePrefix="0" xfId="102">
      <alignment horizontal="right"/>
    </xf>
    <xf numFmtId="0" fontId="24" fillId="2" borderId="0" applyAlignment="1" pivotButton="0" quotePrefix="0" xfId="102">
      <alignment horizontal="center"/>
    </xf>
    <xf numFmtId="169" fontId="10" fillId="0" borderId="0" applyAlignment="1" pivotButton="0" quotePrefix="0" xfId="102">
      <alignment horizontal="center"/>
    </xf>
    <xf numFmtId="0" fontId="24" fillId="0" borderId="20" applyAlignment="1" pivotButton="0" quotePrefix="0" xfId="102">
      <alignment horizontal="center"/>
    </xf>
    <xf numFmtId="14" fontId="2" fillId="2" borderId="0" applyAlignment="1" pivotButton="0" quotePrefix="0" xfId="0">
      <alignment horizontal="center"/>
    </xf>
    <xf numFmtId="164" fontId="24" fillId="0" borderId="24" applyAlignment="1" pivotButton="0" quotePrefix="0" xfId="102">
      <alignment vertical="center"/>
    </xf>
    <xf numFmtId="164" fontId="24" fillId="0" borderId="26" applyAlignment="1" pivotButton="0" quotePrefix="0" xfId="102">
      <alignment vertical="center"/>
    </xf>
    <xf numFmtId="0" fontId="10" fillId="0" borderId="25" applyAlignment="1" pivotButton="0" quotePrefix="0" xfId="102">
      <alignment horizontal="center"/>
    </xf>
    <xf numFmtId="9" fontId="2" fillId="2" borderId="1" applyAlignment="1" pivotButton="0" quotePrefix="0" xfId="0">
      <alignment horizontal="center"/>
    </xf>
    <xf numFmtId="168" fontId="27" fillId="2" borderId="12" pivotButton="0" quotePrefix="0" xfId="0"/>
    <xf numFmtId="169" fontId="27" fillId="2" borderId="14" applyAlignment="1" pivotButton="0" quotePrefix="0" xfId="0">
      <alignment horizontal="center"/>
    </xf>
    <xf numFmtId="1" fontId="27" fillId="2" borderId="14" applyAlignment="1" pivotButton="0" quotePrefix="0" xfId="0">
      <alignment horizontal="center"/>
    </xf>
    <xf numFmtId="164" fontId="27" fillId="2" borderId="13" pivotButton="0" quotePrefix="0" xfId="0"/>
    <xf numFmtId="164" fontId="24" fillId="0" borderId="12" applyAlignment="1" pivotButton="0" quotePrefix="0" xfId="102">
      <alignment horizontal="center" vertical="center"/>
    </xf>
    <xf numFmtId="0" fontId="24" fillId="0" borderId="13" applyAlignment="1" pivotButton="0" quotePrefix="0" xfId="102">
      <alignment horizontal="center" vertical="center"/>
    </xf>
    <xf numFmtId="0" fontId="29" fillId="0" borderId="12" applyAlignment="1" pivotButton="0" quotePrefix="0" xfId="0">
      <alignment horizontal="center"/>
    </xf>
    <xf numFmtId="0" fontId="29" fillId="0" borderId="14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164" fontId="10" fillId="0" borderId="0" pivotButton="0" quotePrefix="0" xfId="102"/>
    <xf numFmtId="164" fontId="24" fillId="0" borderId="0" pivotButton="0" quotePrefix="0" xfId="102"/>
    <xf numFmtId="164" fontId="10" fillId="0" borderId="0" applyAlignment="1" pivotButton="0" quotePrefix="0" xfId="102">
      <alignment vertical="center"/>
    </xf>
    <xf numFmtId="164" fontId="24" fillId="0" borderId="0" applyAlignment="1" pivotButton="0" quotePrefix="0" xfId="102">
      <alignment vertical="center"/>
    </xf>
    <xf numFmtId="164" fontId="24" fillId="0" borderId="1" applyAlignment="1" pivotButton="0" quotePrefix="0" xfId="102">
      <alignment horizontal="center" vertical="center"/>
    </xf>
    <xf numFmtId="0" fontId="0" fillId="0" borderId="13" pivotButton="0" quotePrefix="0" xfId="0"/>
    <xf numFmtId="164" fontId="24" fillId="0" borderId="14" applyAlignment="1" pivotButton="0" quotePrefix="0" xfId="102">
      <alignment horizontal="left" vertical="center" wrapText="1"/>
    </xf>
    <xf numFmtId="164" fontId="24" fillId="0" borderId="13" applyAlignment="1" pivotButton="0" quotePrefix="0" xfId="102">
      <alignment horizontal="left" vertical="center" wrapText="1"/>
    </xf>
    <xf numFmtId="164" fontId="24" fillId="26" borderId="16" applyAlignment="1" pivotButton="0" quotePrefix="0" xfId="102">
      <alignment vertical="center"/>
    </xf>
    <xf numFmtId="164" fontId="24" fillId="26" borderId="17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0" fillId="0" borderId="18" applyAlignment="1" pivotButton="0" quotePrefix="0" xfId="102">
      <alignment vertical="center"/>
    </xf>
    <xf numFmtId="164" fontId="24" fillId="26" borderId="26" applyAlignment="1" pivotButton="0" quotePrefix="0" xfId="0">
      <alignment vertical="center"/>
    </xf>
    <xf numFmtId="164" fontId="10" fillId="0" borderId="0" applyAlignment="1" pivotButton="0" quotePrefix="0" xfId="102">
      <alignment horizontal="left" vertical="center"/>
    </xf>
    <xf numFmtId="164" fontId="24" fillId="26" borderId="14" applyAlignment="1" pivotButton="0" quotePrefix="0" xfId="102">
      <alignment vertical="center"/>
    </xf>
    <xf numFmtId="167" fontId="24" fillId="26" borderId="1" applyAlignment="1" pivotButton="0" quotePrefix="0" xfId="102">
      <alignment vertical="center"/>
    </xf>
    <xf numFmtId="165" fontId="0" fillId="0" borderId="0" applyAlignment="1" pivotButton="0" quotePrefix="0" xfId="0">
      <alignment horizontal="center"/>
    </xf>
    <xf numFmtId="164" fontId="0" fillId="0" borderId="0" pivotButton="0" quotePrefix="0" xfId="0"/>
    <xf numFmtId="165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8" fontId="0" fillId="0" borderId="0" pivotButton="0" quotePrefix="0" xfId="0"/>
    <xf numFmtId="166" fontId="0" fillId="0" borderId="0" applyAlignment="1" pivotButton="0" quotePrefix="0" xfId="0">
      <alignment horizontal="center"/>
    </xf>
    <xf numFmtId="174" fontId="0" fillId="0" borderId="0" pivotButton="0" quotePrefix="0" xfId="0"/>
    <xf numFmtId="169" fontId="0" fillId="0" borderId="0" applyAlignment="1" pivotButton="0" quotePrefix="0" xfId="0">
      <alignment horizontal="center"/>
    </xf>
    <xf numFmtId="168" fontId="0" fillId="0" borderId="18" pivotButton="0" quotePrefix="0" xfId="0"/>
    <xf numFmtId="166" fontId="0" fillId="0" borderId="18" applyAlignment="1" pivotButton="0" quotePrefix="0" xfId="0">
      <alignment horizontal="center"/>
    </xf>
    <xf numFmtId="164" fontId="0" fillId="0" borderId="18" pivotButton="0" quotePrefix="0" xfId="0"/>
    <xf numFmtId="168" fontId="27" fillId="2" borderId="12" pivotButton="0" quotePrefix="0" xfId="0"/>
    <xf numFmtId="169" fontId="27" fillId="2" borderId="14" applyAlignment="1" pivotButton="0" quotePrefix="0" xfId="0">
      <alignment horizontal="center"/>
    </xf>
    <xf numFmtId="164" fontId="27" fillId="2" borderId="13" pivotButton="0" quotePrefix="0" xfId="0"/>
    <xf numFmtId="164" fontId="24" fillId="2" borderId="19" applyAlignment="1" pivotButton="0" quotePrefix="0" xfId="0">
      <alignment horizontal="right"/>
    </xf>
    <xf numFmtId="164" fontId="10" fillId="0" borderId="22" pivotButton="0" quotePrefix="0" xfId="102"/>
    <xf numFmtId="164" fontId="24" fillId="2" borderId="1" applyAlignment="1" pivotButton="0" quotePrefix="0" xfId="102">
      <alignment vertical="center"/>
    </xf>
    <xf numFmtId="164" fontId="10" fillId="0" borderId="23" pivotButton="0" quotePrefix="0" xfId="102"/>
    <xf numFmtId="173" fontId="10" fillId="0" borderId="0" applyAlignment="1" pivotButton="0" quotePrefix="0" xfId="102">
      <alignment horizontal="center"/>
    </xf>
    <xf numFmtId="170" fontId="10" fillId="0" borderId="23" pivotButton="0" quotePrefix="0" xfId="102"/>
    <xf numFmtId="164" fontId="10" fillId="0" borderId="25" pivotButton="0" quotePrefix="0" xfId="102"/>
    <xf numFmtId="170" fontId="10" fillId="0" borderId="25" pivotButton="0" quotePrefix="0" xfId="102"/>
    <xf numFmtId="170" fontId="24" fillId="2" borderId="1" pivotButton="0" quotePrefix="0" xfId="102"/>
    <xf numFmtId="164" fontId="24" fillId="0" borderId="24" applyAlignment="1" pivotButton="0" quotePrefix="0" xfId="102">
      <alignment vertical="center"/>
    </xf>
    <xf numFmtId="164" fontId="24" fillId="0" borderId="26" applyAlignment="1" pivotButton="0" quotePrefix="0" xfId="102">
      <alignment vertical="center"/>
    </xf>
    <xf numFmtId="169" fontId="10" fillId="0" borderId="0" applyAlignment="1" pivotButton="0" quotePrefix="0" xfId="102">
      <alignment horizontal="center"/>
    </xf>
    <xf numFmtId="164" fontId="24" fillId="0" borderId="14" applyAlignment="1" pivotButton="0" quotePrefix="0" xfId="102">
      <alignment horizontal="center" vertical="center" wrapText="1"/>
    </xf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4" fontId="0" fillId="0" borderId="25" pivotButton="0" quotePrefix="0" xfId="0"/>
    <xf numFmtId="171" fontId="2" fillId="0" borderId="0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0" fontId="0" fillId="0" borderId="14" pivotButton="0" quotePrefix="0" xfId="0"/>
    <xf numFmtId="171" fontId="2" fillId="0" borderId="18" applyAlignment="1" pivotButton="0" quotePrefix="0" xfId="0">
      <alignment horizontal="center"/>
    </xf>
    <xf numFmtId="171" fontId="2" fillId="0" borderId="1" applyAlignment="1" pivotButton="0" quotePrefix="0" xfId="0">
      <alignment horizontal="center" vertical="center" wrapText="1"/>
    </xf>
    <xf numFmtId="171" fontId="27" fillId="0" borderId="0" applyAlignment="1" pivotButton="0" quotePrefix="0" xfId="0">
      <alignment horizontal="right"/>
    </xf>
    <xf numFmtId="172" fontId="27" fillId="0" borderId="23" applyAlignment="1" pivotButton="0" quotePrefix="0" xfId="0">
      <alignment horizontal="right"/>
    </xf>
    <xf numFmtId="171" fontId="27" fillId="0" borderId="18" applyAlignment="1" pivotButton="0" quotePrefix="0" xfId="0">
      <alignment horizontal="right"/>
    </xf>
    <xf numFmtId="172" fontId="32" fillId="0" borderId="25" applyAlignment="1" pivotButton="0" quotePrefix="0" xfId="0">
      <alignment horizontal="right"/>
    </xf>
    <xf numFmtId="172" fontId="27" fillId="0" borderId="25" applyAlignment="1" pivotButton="0" quotePrefix="0" xfId="0">
      <alignment horizontal="right"/>
    </xf>
    <xf numFmtId="171" fontId="27" fillId="0" borderId="1" applyAlignment="1" pivotButton="0" quotePrefix="0" xfId="0">
      <alignment horizontal="right"/>
    </xf>
    <xf numFmtId="172" fontId="27" fillId="0" borderId="1" pivotButton="0" quotePrefix="0" xfId="0"/>
    <xf numFmtId="174" fontId="0" fillId="0" borderId="0" pivotButton="0" quotePrefix="0" xfId="0"/>
  </cellXfs>
  <cellStyles count="145">
    <cellStyle name="Normale" xfId="0" builtinId="0"/>
    <cellStyle name="20% - Colore 1" xfId="1"/>
    <cellStyle name="20% - Colore 2" xfId="2"/>
    <cellStyle name="20% - Colore 3" xfId="3"/>
    <cellStyle name="20% - Colore 4" xfId="4"/>
    <cellStyle name="20% - Colore 5" xfId="5"/>
    <cellStyle name="20% - Colore 6" xfId="6"/>
    <cellStyle name="20% - Ênfase1" xfId="7"/>
    <cellStyle name="20% - Ênfase1 2" xfId="8"/>
    <cellStyle name="20% - Ênfase2" xfId="9"/>
    <cellStyle name="20% - Ênfase2 2" xfId="10"/>
    <cellStyle name="20% - Ênfase3" xfId="11"/>
    <cellStyle name="20% - Ênfase3 2" xfId="12"/>
    <cellStyle name="20% - Ênfase4" xfId="13"/>
    <cellStyle name="20% - Ênfase4 2" xfId="14"/>
    <cellStyle name="20% - Ênfase5" xfId="15"/>
    <cellStyle name="20% - Ênfase5 2" xfId="16"/>
    <cellStyle name="20% - Ênfase6" xfId="17"/>
    <cellStyle name="20% - Ênfase6 2" xfId="18"/>
    <cellStyle name="40% - Colore 1" xfId="19"/>
    <cellStyle name="40% - Colore 2" xfId="20"/>
    <cellStyle name="40% - Colore 3" xfId="21"/>
    <cellStyle name="40% - Colore 4" xfId="22"/>
    <cellStyle name="40% - Colore 5" xfId="23"/>
    <cellStyle name="40% - Colore 6" xfId="24"/>
    <cellStyle name="40% - Ênfase1" xfId="25"/>
    <cellStyle name="40% - Ênfase1 2" xfId="26"/>
    <cellStyle name="40% - Ênfase2" xfId="27"/>
    <cellStyle name="40% - Ênfase2 2" xfId="28"/>
    <cellStyle name="40% - Ênfase3" xfId="29"/>
    <cellStyle name="40% - Ênfase3 2" xfId="30"/>
    <cellStyle name="40% - Ênfase4" xfId="31"/>
    <cellStyle name="40% - Ênfase4 2" xfId="32"/>
    <cellStyle name="40% - Ênfase5" xfId="33"/>
    <cellStyle name="40% - Ênfase5 2" xfId="34"/>
    <cellStyle name="40% - Ênfase6" xfId="35"/>
    <cellStyle name="40% - Ênfase6 2" xfId="36"/>
    <cellStyle name="60% - Colore 1" xfId="37"/>
    <cellStyle name="60% - Colore 2" xfId="38"/>
    <cellStyle name="60% - Colore 3" xfId="39"/>
    <cellStyle name="60% - Colore 4" xfId="40"/>
    <cellStyle name="60% - Colore 5" xfId="41"/>
    <cellStyle name="60% - Colore 6" xfId="42"/>
    <cellStyle name="60% - Ênfase1" xfId="43"/>
    <cellStyle name="60% - Ênfase1 2" xfId="44"/>
    <cellStyle name="60% - Ênfase2" xfId="45"/>
    <cellStyle name="60% - Ênfase2 2" xfId="46"/>
    <cellStyle name="60% - Ênfase3" xfId="47"/>
    <cellStyle name="60% - Ênfase3 2" xfId="48"/>
    <cellStyle name="60% - Ênfase4" xfId="49"/>
    <cellStyle name="60% - Ênfase4 2" xfId="50"/>
    <cellStyle name="60% - Ênfase5" xfId="51"/>
    <cellStyle name="60% - Ênfase5 2" xfId="52"/>
    <cellStyle name="60% - Ênfase6" xfId="53"/>
    <cellStyle name="60% - Ênfase6 2" xfId="54"/>
    <cellStyle name="Bom" xfId="55"/>
    <cellStyle name="Bom 2" xfId="56"/>
    <cellStyle name="Calcolo" xfId="57"/>
    <cellStyle name="Cálculo" xfId="58"/>
    <cellStyle name="Cálculo 2" xfId="59"/>
    <cellStyle name="cBMilliers" xfId="60"/>
    <cellStyle name="cBMilliers-" xfId="61"/>
    <cellStyle name="Cella collegata" xfId="62"/>
    <cellStyle name="Cella da controllare" xfId="63"/>
    <cellStyle name="Célula de Verificação" xfId="64"/>
    <cellStyle name="Célula de Verificação 2" xfId="65"/>
    <cellStyle name="Célula Vinculada" xfId="66"/>
    <cellStyle name="Célula Vinculada 2" xfId="67"/>
    <cellStyle name="Colore 1" xfId="68"/>
    <cellStyle name="Colore 2" xfId="69"/>
    <cellStyle name="Colore 3" xfId="70"/>
    <cellStyle name="Colore 4" xfId="71"/>
    <cellStyle name="Colore 5" xfId="72"/>
    <cellStyle name="Colore 6" xfId="73"/>
    <cellStyle name="Comma 2" xfId="74"/>
    <cellStyle name="Comma 3" xfId="75"/>
    <cellStyle name="Comma 4" xfId="76"/>
    <cellStyle name="Currency 2" xfId="77"/>
    <cellStyle name="Currency 3" xfId="78"/>
    <cellStyle name="Currency 4" xfId="79"/>
    <cellStyle name="Currency 5" xfId="80"/>
    <cellStyle name="Ênfase1" xfId="81"/>
    <cellStyle name="Ênfase1 2" xfId="82"/>
    <cellStyle name="Ênfase2" xfId="83"/>
    <cellStyle name="Ênfase2 2" xfId="84"/>
    <cellStyle name="Ênfase3" xfId="85"/>
    <cellStyle name="Ênfase3 2" xfId="86"/>
    <cellStyle name="Ênfase4" xfId="87"/>
    <cellStyle name="Ênfase4 2" xfId="88"/>
    <cellStyle name="Ênfase5" xfId="89"/>
    <cellStyle name="Ênfase5 2" xfId="90"/>
    <cellStyle name="Ênfase6" xfId="91"/>
    <cellStyle name="Ênfase6 2" xfId="92"/>
    <cellStyle name="Entrada" xfId="93"/>
    <cellStyle name="Entrada 2" xfId="94"/>
    <cellStyle name="Euro" xfId="95"/>
    <cellStyle name="Euro 2" xfId="96"/>
    <cellStyle name="Incorreto" xfId="97"/>
    <cellStyle name="Incorreto 2" xfId="98"/>
    <cellStyle name="Neutra" xfId="99"/>
    <cellStyle name="Neutra 2" xfId="100"/>
    <cellStyle name="Neutrale" xfId="101"/>
    <cellStyle name="Normal 2" xfId="102"/>
    <cellStyle name="Normal 2 2" xfId="103"/>
    <cellStyle name="Normal 2 2 2" xfId="104"/>
    <cellStyle name="Normal 2 3" xfId="105"/>
    <cellStyle name="Normal 3" xfId="106"/>
    <cellStyle name="Normal 3 2" xfId="107"/>
    <cellStyle name="Normal 4" xfId="108"/>
    <cellStyle name="Normal 5" xfId="109"/>
    <cellStyle name="Normal 6" xfId="110"/>
    <cellStyle name="Normal 6 2" xfId="111"/>
    <cellStyle name="Normale 2" xfId="112"/>
    <cellStyle name="Normale 3" xfId="113"/>
    <cellStyle name="Nota" xfId="114"/>
    <cellStyle name="Nota 2" xfId="115"/>
    <cellStyle name="Nota 2 2" xfId="116"/>
    <cellStyle name="Percent 2" xfId="117"/>
    <cellStyle name="Percentuale 2" xfId="118"/>
    <cellStyle name="Saída" xfId="119"/>
    <cellStyle name="Saída 2" xfId="120"/>
    <cellStyle name="Testo avviso" xfId="121"/>
    <cellStyle name="Testo descrittivo" xfId="122"/>
    <cellStyle name="Texto de Aviso" xfId="123"/>
    <cellStyle name="Texto de Aviso 2" xfId="124"/>
    <cellStyle name="Texto Explicativo" xfId="125"/>
    <cellStyle name="Texto Explicativo 2" xfId="126"/>
    <cellStyle name="Titolo" xfId="127"/>
    <cellStyle name="Titolo 1" xfId="128"/>
    <cellStyle name="Titolo 2" xfId="129"/>
    <cellStyle name="Titolo 3" xfId="130"/>
    <cellStyle name="Titolo 4" xfId="131"/>
    <cellStyle name="Título" xfId="132"/>
    <cellStyle name="Título 1" xfId="133"/>
    <cellStyle name="Título 1 2" xfId="134"/>
    <cellStyle name="Título 2" xfId="135"/>
    <cellStyle name="Título 2 2" xfId="136"/>
    <cellStyle name="Título 3" xfId="137"/>
    <cellStyle name="Título 3 2" xfId="138"/>
    <cellStyle name="Título 4" xfId="139"/>
    <cellStyle name="Título 4 2" xfId="140"/>
    <cellStyle name="Título 5" xfId="141"/>
    <cellStyle name="Total 2" xfId="142"/>
    <cellStyle name="Valore non valido" xfId="143"/>
    <cellStyle name="Valore valido" xfId="144"/>
  </cellStyles>
  <dxfs count="4">
    <dxf>
      <font>
        <color rgb="FFFF0000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PROPRIETA/FOREX/FOREX%20Calculator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sso"/>
      <sheetName val="cambio"/>
      <sheetName val="cambio (USD)"/>
      <sheetName val="cambio (BRL)"/>
      <sheetName val="Cambi R$"/>
      <sheetName val="Cambi"/>
      <sheetName val="Cambi Mes"/>
    </sheetNames>
    <sheetDataSet>
      <sheetData sheetId="0">
        <row r="1">
          <cell r="E1">
            <v>46204</v>
          </cell>
        </row>
        <row r="18">
          <cell r="C18">
            <v>5.8822830000000002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Utilisateur" refreshedDate="46271.88503923611" createdVersion="8" refreshedVersion="8" minRefreshableVersion="3" recordCount="67" r:id="rId1">
  <cacheSource type="worksheet">
    <worksheetSource ref="A1:Y68" sheet="COMPTAB"/>
  </cacheSource>
  <cacheFields count="25">
    <cacheField name="data" uniqueList="1" numFmtId="14" sqlType="0" hierarchy="0" level="0" databaseField="1">
      <sharedItems count="0" containsBlank="1" containsDate="1" containsNonDate="0" containsString="0" minDate="2025-03-31T00:00:00" maxDate="2026-07-28T00:00:00"/>
    </cacheField>
    <cacheField name="valuta " uniqueList="1" numFmtId="14" sqlType="0" hierarchy="0" level="0" databaseField="1">
      <sharedItems count="0" containsBlank="1" containsDate="1" containsNonDate="0" containsString="0" minDate="2025-08-29T00:00:00" maxDate="2026-07-28T00:00:00"/>
    </cacheField>
    <cacheField name="Mese" uniqueList="1" numFmtId="1" sqlType="0" hierarchy="0" level="0" databaseField="1">
      <sharedItems count="0" containsBlank="1" containsInteger="1" containsMixedTypes="1" containsNumber="1" minValue="1" maxValue="12"/>
    </cacheField>
    <cacheField name="anno" uniqueList="1" numFmtId="1" sqlType="0" hierarchy="0" level="0" databaseField="1">
      <sharedItems count="4" containsBlank="1" containsInteger="1" containsMixedTypes="1" containsNumber="1" minValue="2025" maxValue="2026">
        <n v="2025"/>
        <n v="2026"/>
        <m/>
        <s v=""/>
      </sharedItems>
    </cacheField>
    <cacheField name="Competenza" uniqueList="1" numFmtId="1" sqlType="0" hierarchy="0" level="0" databaseField="1">
      <sharedItems count="0" containsBlank="1" containsInteger="1" containsNumber="1" containsString="0" minValue="2025" maxValue="2026"/>
    </cacheField>
    <cacheField name="BRL" uniqueList="1" numFmtId="173" sqlType="0" hierarchy="0" level="0" databaseField="1">
      <sharedItems count="0" containsBlank="1" containsInteger="1" containsNumber="1" containsString="0" minValue="227258" maxValue="1443941"/>
    </cacheField>
    <cacheField name="Change" uniqueList="1" numFmtId="0" sqlType="0" hierarchy="0" level="0" databaseField="1">
      <sharedItems count="0" containsBlank="1" containsNumber="1" containsString="0" minValue="5.68145" maxValue="6.35682"/>
    </cacheField>
    <cacheField name="INTR" uniqueList="1" numFmtId="1" sqlType="0" hierarchy="0" level="0" databaseField="1">
      <sharedItems count="0" containsBlank="1"/>
    </cacheField>
    <cacheField name="Imp" uniqueList="1" numFmtId="8" sqlType="0" hierarchy="0" level="0" databaseField="1">
      <sharedItems count="0" containsBlank="1" containsNumber="1" containsString="0" minValue="-240000" maxValue="40000"/>
    </cacheField>
    <cacheField name="% TVA" uniqueList="1" numFmtId="10" sqlType="0" hierarchy="0" level="0" databaseField="1">
      <sharedItems count="0" containsBlank="1" containsNumber="1" containsString="0" minValue="0" maxValue="0.17"/>
    </cacheField>
    <cacheField name="TVA" uniqueList="1" numFmtId="8" sqlType="0" hierarchy="0" level="0" databaseField="1">
      <sharedItems count="0" containsBlank="1" containsNumber="1" containsString="0" minValue="-581.2" maxValue="581.2"/>
    </cacheField>
    <cacheField name="Importo" uniqueList="1" numFmtId="0" sqlType="0" hierarchy="0" level="0" databaseField="1">
      <sharedItems count="0" containsBlank="1" containsNumber="1" containsString="0" minValue="-50000" maxValue="40000"/>
    </cacheField>
    <cacheField name="Progressivo" uniqueList="1" numFmtId="0" sqlType="0" hierarchy="0" level="0" databaseField="1">
      <sharedItems count="0" containsBlank="1" containsNumber="1" containsString="0" minValue="0" maxValue="100232.517"/>
    </cacheField>
    <cacheField name="B/P" uniqueList="1" numFmtId="0" sqlType="0" hierarchy="0" level="0" databaseField="1">
      <sharedItems count="3" containsBlank="1">
        <s v="BIL"/>
        <s v="PP"/>
        <m/>
      </sharedItems>
    </cacheField>
    <cacheField name="A/P C/R" uniqueList="1" numFmtId="0" sqlType="0" hierarchy="0" level="0" databaseField="1">
      <sharedItems count="4" containsBlank="1">
        <s v="CAPITAUX PROPRES ET PASSIF"/>
        <s v="COSTS"/>
        <s v="IMMOBILISATIONS"/>
        <m/>
      </sharedItems>
    </cacheField>
    <cacheField name="CLASSE" uniqueList="1" numFmtId="0" sqlType="0" hierarchy="0" level="0" databaseField="1">
      <sharedItems count="0" containsBlank="1"/>
    </cacheField>
    <cacheField name="TIPOLOGIA" uniqueList="1" numFmtId="0" sqlType="0" hierarchy="0" level="0" databaseField="1">
      <sharedItems count="5" containsBlank="1">
        <s v="I. CAPITAL SOUSCRIT"/>
        <s v="6135000 - FRAIS D'ACTES NOTARIES ET ASSIMILES"/>
        <s v="61333 - FRAIS DE COMPTE BANQUE"/>
        <s v="233 - PARTICIPATIONS"/>
        <m/>
      </sharedItems>
    </cacheField>
    <cacheField name="Type" uniqueList="1" numFmtId="0" sqlType="0" hierarchy="0" level="0" databaseField="1">
      <sharedItems count="0" containsBlank="1" containsNonDate="0" containsString="0"/>
    </cacheField>
    <cacheField name="descrizione" uniqueList="1" numFmtId="0" sqlType="0" hierarchy="0" level="0" databaseField="1">
      <sharedItems count="16" containsBlank="1">
        <s v="1010000 - Capital Souscrit"/>
        <s v="Immatriculationn - Frais administratifs"/>
        <s v="Frais d'extrait RCS"/>
        <s v="Frais d'extrait RCS - Papier Securise"/>
        <s v="Inscription au RBE des Beneficiaires effectifs"/>
        <s v="Apostille sur documentation Ministere des Affaires Etrangeres et Europeennes"/>
        <s v="Legalisation documentation"/>
        <s v="Remboursement des Frais"/>
        <s v="Frais bancaires"/>
        <s v="Acquisition de participation "/>
        <s v="Participation Fee 2%"/>
        <m/>
        <s v="Frais d'extrait RCS - Papier Sécurisé" u="1"/>
        <s v="Inscription au RBE dés Bénéficiaires effectifs" u="1"/>
        <s v="Apostille sur documentation Ministère des Affaires Etrangeres et Européennes" u="1"/>
        <s v="Légalisation documentation" u="1"/>
      </sharedItems>
    </cacheField>
    <cacheField name="Fattura" uniqueList="1" numFmtId="49" sqlType="0" hierarchy="0" level="0" databaseField="1">
      <sharedItems count="0" containsBlank="1"/>
    </cacheField>
    <cacheField name="Beneficiario" uniqueList="1" numFmtId="0" sqlType="0" hierarchy="0" level="0" databaseField="1">
      <sharedItems count="20" containsBlank="1">
        <s v="NEW LIFE Sarl"/>
        <s v="Tubia Edoardo"/>
        <s v="R.C.S. Luxembourg"/>
        <s v="R.B.E. Luxembourg"/>
        <s v="Ministere des Affaires Etrangeres et Europeennes"/>
        <s v="Notaire Martine Schaeffer"/>
        <s v="Tubia Silvia"/>
        <s v="Banque de Luxembourg"/>
        <s v="TRI STAR ENERBRAS ONE SCP"/>
        <s v="Bertozzi Stefano"/>
        <s v="De Miguel Bellvis Maria"/>
        <s v="Desiderio Salvatore"/>
        <s v="Tubia Enrico"/>
        <s v="Zaniboni Elisa"/>
        <s v="Zaniboni Greta"/>
        <s v="Sterzi Marco"/>
        <s v="Miletti Giovanni"/>
        <m/>
        <s v="New Life Sàrl" u="1"/>
        <s v="Ministère des Affaires Etrangeres et Européennes" u="1"/>
      </sharedItems>
    </cacheField>
    <cacheField name="BANK" uniqueList="1" numFmtId="0" sqlType="0" hierarchy="0" level="0" databaseField="1">
      <sharedItems count="2" containsBlank="1">
        <s v="BDL"/>
        <m/>
      </sharedItems>
    </cacheField>
    <cacheField name="Origine" uniqueList="1" numFmtId="0" sqlType="0" hierarchy="0" level="0" databaseField="1">
      <sharedItems count="0" containsBlank="1"/>
    </cacheField>
    <cacheField name="PAYE" uniqueList="1" numFmtId="0" sqlType="0" hierarchy="0" level="0" databaseField="1">
      <sharedItems count="3" containsBlank="1">
        <s v="OUI"/>
        <m/>
        <s v="NON"/>
      </sharedItems>
    </cacheField>
    <cacheField name="TVA V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67">
  <r>
    <d v="2025-08-29T00:00:00"/>
    <d v="2025-08-29T00:00:00"/>
    <n v="8"/>
    <x v="0"/>
    <n v="2025"/>
    <m/>
    <m/>
    <s v="LUX"/>
    <n v="1000"/>
    <m/>
    <m/>
    <n v="1000"/>
    <n v="1000"/>
    <x v="0"/>
    <x v="0"/>
    <s v="A. CAPITAUX PROPRES"/>
    <x v="0"/>
    <m/>
    <x v="0"/>
    <m/>
    <x v="0"/>
    <x v="0"/>
    <s v="NEW LIFE Sarl"/>
    <x v="0"/>
    <m/>
  </r>
  <r>
    <d v="2025-09-01T00:00:00"/>
    <d v="2025-09-01T00:00:00"/>
    <n v="9"/>
    <x v="0"/>
    <n v="2025"/>
    <m/>
    <m/>
    <s v="LUX"/>
    <n v="10000"/>
    <m/>
    <m/>
    <n v="10000"/>
    <n v="11000"/>
    <x v="0"/>
    <x v="0"/>
    <s v="A. CAPITAUX PROPRES"/>
    <x v="0"/>
    <m/>
    <x v="0"/>
    <m/>
    <x v="1"/>
    <x v="0"/>
    <s v="Tubia Edoardo"/>
    <x v="0"/>
    <m/>
  </r>
  <r>
    <d v="2025-03-31T00:00:00"/>
    <d v="2025-09-02T00:00:00"/>
    <n v="9"/>
    <x v="0"/>
    <n v="2025"/>
    <m/>
    <m/>
    <s v="LUX"/>
    <n v="-105.91"/>
    <n v="0.17"/>
    <n v="-18.0047"/>
    <n v="-123.9147"/>
    <n v="10876.0853"/>
    <x v="1"/>
    <x v="1"/>
    <m/>
    <x v="1"/>
    <m/>
    <x v="1"/>
    <s v="001-2025"/>
    <x v="2"/>
    <x v="1"/>
    <s v="Green Enerbras One SCSp"/>
    <x v="0"/>
    <s v="X"/>
  </r>
  <r>
    <d v="2025-03-31T00:00:00"/>
    <d v="2025-09-02T00:00:00"/>
    <n v="9"/>
    <x v="0"/>
    <n v="2025"/>
    <m/>
    <m/>
    <s v="LUX"/>
    <n v="-12"/>
    <n v="0"/>
    <n v="0"/>
    <n v="-12"/>
    <n v="10864.0853"/>
    <x v="1"/>
    <x v="1"/>
    <m/>
    <x v="1"/>
    <m/>
    <x v="2"/>
    <s v="001-2025"/>
    <x v="2"/>
    <x v="1"/>
    <s v="Green Enerbras One SCSp"/>
    <x v="0"/>
    <s v="X"/>
  </r>
  <r>
    <d v="2025-04-07T00:00:00"/>
    <d v="2025-09-02T00:00:00"/>
    <n v="9"/>
    <x v="0"/>
    <n v="2025"/>
    <m/>
    <m/>
    <s v="LUX"/>
    <n v="-21.43"/>
    <n v="0.17"/>
    <n v="-3.6431"/>
    <n v="-25.0731"/>
    <n v="10839.0122"/>
    <x v="1"/>
    <x v="1"/>
    <m/>
    <x v="1"/>
    <m/>
    <x v="3"/>
    <s v="002-2025"/>
    <x v="2"/>
    <x v="1"/>
    <s v="Green Enerbras One SCSp"/>
    <x v="0"/>
    <s v="X"/>
  </r>
  <r>
    <d v="2025-04-07T00:00:00"/>
    <d v="2025-09-02T00:00:00"/>
    <n v="9"/>
    <x v="0"/>
    <n v="2025"/>
    <m/>
    <m/>
    <s v="LUX"/>
    <n v="-15"/>
    <n v="0.17"/>
    <n v="-2.55"/>
    <n v="-17.55"/>
    <n v="10821.4622"/>
    <x v="1"/>
    <x v="1"/>
    <m/>
    <x v="1"/>
    <m/>
    <x v="4"/>
    <s v="003-2025"/>
    <x v="3"/>
    <x v="1"/>
    <s v="Green Enerbras One SCSp"/>
    <x v="0"/>
    <s v="X"/>
  </r>
  <r>
    <d v="2025-04-07T00:00:00"/>
    <d v="2025-09-02T00:00:00"/>
    <n v="9"/>
    <x v="0"/>
    <n v="2025"/>
    <m/>
    <m/>
    <s v="LUX"/>
    <n v="-60"/>
    <n v="0"/>
    <n v="0"/>
    <n v="-60"/>
    <n v="10761.4622"/>
    <x v="1"/>
    <x v="1"/>
    <m/>
    <x v="1"/>
    <m/>
    <x v="5"/>
    <s v="004-2025"/>
    <x v="4"/>
    <x v="1"/>
    <s v="Green Enerbras One SCSp"/>
    <x v="0"/>
    <s v="X"/>
  </r>
  <r>
    <d v="2025-04-08T00:00:00"/>
    <d v="2025-09-02T00:00:00"/>
    <n v="9"/>
    <x v="0"/>
    <n v="2025"/>
    <m/>
    <m/>
    <s v="LUX"/>
    <n v="-40"/>
    <n v="0"/>
    <n v="0"/>
    <n v="-40"/>
    <n v="10721.4622"/>
    <x v="1"/>
    <x v="1"/>
    <m/>
    <x v="1"/>
    <m/>
    <x v="5"/>
    <s v="005-2025"/>
    <x v="4"/>
    <x v="1"/>
    <s v="Green Enerbras One SCSp"/>
    <x v="0"/>
    <s v="X"/>
  </r>
  <r>
    <d v="2025-05-02T00:00:00"/>
    <d v="2025-09-02T00:00:00"/>
    <n v="9"/>
    <x v="0"/>
    <n v="2025"/>
    <m/>
    <m/>
    <s v="LUX"/>
    <n v="-25.64"/>
    <n v="0.17"/>
    <n v="-4.3588"/>
    <n v="-29.9988"/>
    <n v="10691.4634"/>
    <x v="1"/>
    <x v="1"/>
    <m/>
    <x v="1"/>
    <m/>
    <x v="6"/>
    <s v="006-2025 - Invoice 2501657"/>
    <x v="5"/>
    <x v="1"/>
    <s v="Green Enerbras One SCSp"/>
    <x v="0"/>
    <s v="X"/>
  </r>
  <r>
    <d v="2025-05-19T00:00:00"/>
    <d v="2025-09-02T00:00:00"/>
    <n v="9"/>
    <x v="0"/>
    <n v="2025"/>
    <m/>
    <m/>
    <s v="LUX"/>
    <n v="-96.92"/>
    <n v="0.17"/>
    <n v="-16.4764"/>
    <n v="-113.3964"/>
    <n v="10578.067"/>
    <x v="1"/>
    <x v="1"/>
    <m/>
    <x v="1"/>
    <m/>
    <x v="6"/>
    <s v="007-2025 - Invoice 2501874"/>
    <x v="5"/>
    <x v="1"/>
    <s v="Green Enerbras One SCSp"/>
    <x v="0"/>
    <s v="X"/>
  </r>
  <r>
    <d v="2025-05-19T00:00:00"/>
    <d v="2025-09-02T00:00:00"/>
    <n v="9"/>
    <x v="0"/>
    <n v="2025"/>
    <m/>
    <m/>
    <s v="LUX"/>
    <n v="-60"/>
    <n v="0"/>
    <n v="0"/>
    <n v="-60"/>
    <n v="10518.067"/>
    <x v="1"/>
    <x v="1"/>
    <m/>
    <x v="1"/>
    <m/>
    <x v="6"/>
    <s v="007-2025 - Invoice 2501874"/>
    <x v="5"/>
    <x v="1"/>
    <s v="Green Enerbras One SCSp"/>
    <x v="0"/>
    <s v="X"/>
  </r>
  <r>
    <d v="2025-07-22T00:00:00"/>
    <d v="2025-09-02T00:00:00"/>
    <n v="9"/>
    <x v="0"/>
    <n v="2025"/>
    <m/>
    <m/>
    <s v="LUX"/>
    <n v="-15"/>
    <n v="0.17"/>
    <n v="-2.55"/>
    <n v="-17.55"/>
    <n v="10500.517"/>
    <x v="1"/>
    <x v="1"/>
    <m/>
    <x v="1"/>
    <m/>
    <x v="4"/>
    <s v="008-2025"/>
    <x v="3"/>
    <x v="1"/>
    <s v="Green Enerbras One SCSp"/>
    <x v="0"/>
    <s v="X"/>
  </r>
  <r>
    <d v="2025-09-02T00:00:00"/>
    <d v="2025-09-02T00:00:00"/>
    <n v="9"/>
    <x v="0"/>
    <n v="2025"/>
    <m/>
    <m/>
    <s v="LUX"/>
    <n v="451.9"/>
    <n v="0.17"/>
    <n v="47.583"/>
    <n v="499.4830000000001"/>
    <n v="11000"/>
    <x v="1"/>
    <x v="1"/>
    <m/>
    <x v="1"/>
    <m/>
    <x v="7"/>
    <m/>
    <x v="1"/>
    <x v="0"/>
    <s v="Green Enerbras One SCSp"/>
    <x v="0"/>
    <s v="X"/>
  </r>
  <r>
    <d v="2025-09-02T00:00:00"/>
    <d v="2025-09-02T00:00:00"/>
    <n v="9"/>
    <x v="0"/>
    <n v="2025"/>
    <m/>
    <m/>
    <s v="LUX"/>
    <n v="-451.9"/>
    <n v="0.17"/>
    <n v="-47.583"/>
    <n v="-499.4830000000001"/>
    <n v="10500.517"/>
    <x v="1"/>
    <x v="1"/>
    <m/>
    <x v="1"/>
    <m/>
    <x v="7"/>
    <m/>
    <x v="1"/>
    <x v="0"/>
    <s v="Green Enerbras One SCSp"/>
    <x v="0"/>
    <s v="X"/>
  </r>
  <r>
    <d v="2025-09-09T00:00:00"/>
    <d v="2025-09-09T00:00:00"/>
    <n v="9"/>
    <x v="0"/>
    <n v="2025"/>
    <m/>
    <m/>
    <s v="LUX"/>
    <n v="10000"/>
    <m/>
    <m/>
    <n v="10000"/>
    <n v="20500.517"/>
    <x v="0"/>
    <x v="0"/>
    <s v="A. CAPITAUX PROPRES"/>
    <x v="0"/>
    <m/>
    <x v="0"/>
    <m/>
    <x v="1"/>
    <x v="0"/>
    <s v="Tubia Edoardo"/>
    <x v="0"/>
    <m/>
  </r>
  <r>
    <d v="2025-09-29T00:00:00"/>
    <d v="2025-09-29T00:00:00"/>
    <n v="9"/>
    <x v="0"/>
    <n v="2025"/>
    <m/>
    <m/>
    <s v="LUX"/>
    <n v="20000"/>
    <m/>
    <m/>
    <n v="20000"/>
    <n v="40500.51700000001"/>
    <x v="0"/>
    <x v="0"/>
    <s v="A. CAPITAUX PROPRES"/>
    <x v="0"/>
    <m/>
    <x v="0"/>
    <m/>
    <x v="6"/>
    <x v="0"/>
    <s v="Tubia Silvia"/>
    <x v="0"/>
    <m/>
  </r>
  <r>
    <d v="2025-10-01T00:00:00"/>
    <d v="2025-10-01T00:00:00"/>
    <n v="10"/>
    <x v="0"/>
    <n v="2025"/>
    <m/>
    <m/>
    <s v="LUX"/>
    <n v="20000"/>
    <m/>
    <m/>
    <n v="20000"/>
    <n v="60500.51700000001"/>
    <x v="0"/>
    <x v="0"/>
    <s v="A. CAPITAUX PROPRES"/>
    <x v="0"/>
    <m/>
    <x v="0"/>
    <m/>
    <x v="1"/>
    <x v="0"/>
    <s v="Tubia Edoardo"/>
    <x v="0"/>
    <m/>
  </r>
  <r>
    <d v="2025-10-15T00:00:00"/>
    <d v="2025-10-15T00:00:00"/>
    <n v="10"/>
    <x v="0"/>
    <n v="2025"/>
    <m/>
    <m/>
    <s v="LUX"/>
    <n v="-250"/>
    <m/>
    <m/>
    <n v="-250"/>
    <n v="60250.51700000001"/>
    <x v="1"/>
    <x v="1"/>
    <m/>
    <x v="2"/>
    <m/>
    <x v="8"/>
    <m/>
    <x v="7"/>
    <x v="0"/>
    <s v="Green Enerbras One SCSp"/>
    <x v="0"/>
    <m/>
  </r>
  <r>
    <d v="2025-11-12T00:00:00"/>
    <d v="2025-11-12T00:00:00"/>
    <n v="11"/>
    <x v="0"/>
    <n v="2025"/>
    <n v="305240"/>
    <n v="6.1048"/>
    <s v="LUX"/>
    <n v="-50000"/>
    <m/>
    <m/>
    <n v="-50000"/>
    <n v="10250.51700000001"/>
    <x v="0"/>
    <x v="2"/>
    <s v="23 - IMMOBILISATIONS FINANCIERES"/>
    <x v="3"/>
    <m/>
    <x v="9"/>
    <m/>
    <x v="8"/>
    <x v="0"/>
    <s v="Green Enerbras One SCSp"/>
    <x v="0"/>
    <m/>
  </r>
  <r>
    <d v="2025-11-12T00:00:00"/>
    <d v="2025-11-12T00:00:00"/>
    <n v="11"/>
    <x v="0"/>
    <n v="2025"/>
    <m/>
    <m/>
    <s v="LUX"/>
    <n v="-5"/>
    <m/>
    <m/>
    <n v="-5"/>
    <n v="10245.51700000001"/>
    <x v="1"/>
    <x v="1"/>
    <m/>
    <x v="2"/>
    <m/>
    <x v="8"/>
    <m/>
    <x v="7"/>
    <x v="0"/>
    <s v="Green Enerbras One SCSp"/>
    <x v="0"/>
    <m/>
  </r>
  <r>
    <d v="2025-11-12T00:00:00"/>
    <d v="2025-11-12T00:00:00"/>
    <n v="11"/>
    <x v="0"/>
    <n v="2025"/>
    <m/>
    <m/>
    <s v="LUX"/>
    <n v="-4"/>
    <m/>
    <m/>
    <n v="-4"/>
    <n v="10241.51700000001"/>
    <x v="1"/>
    <x v="1"/>
    <m/>
    <x v="2"/>
    <m/>
    <x v="8"/>
    <m/>
    <x v="7"/>
    <x v="0"/>
    <s v="Green Enerbras One SCSp"/>
    <x v="0"/>
    <m/>
  </r>
  <r>
    <d v="2025-11-26T00:00:00"/>
    <d v="2025-11-26T00:00:00"/>
    <n v="11"/>
    <x v="0"/>
    <n v="2025"/>
    <m/>
    <m/>
    <s v="LUX"/>
    <n v="20000"/>
    <m/>
    <m/>
    <n v="20000"/>
    <n v="30241.51700000001"/>
    <x v="0"/>
    <x v="0"/>
    <s v="A. CAPITAUX PROPRES"/>
    <x v="0"/>
    <m/>
    <x v="0"/>
    <m/>
    <x v="9"/>
    <x v="0"/>
    <s v="Tubia Edoardo"/>
    <x v="0"/>
    <m/>
  </r>
  <r>
    <d v="2025-11-26T00:00:00"/>
    <d v="2025-11-26T00:00:00"/>
    <n v="11"/>
    <x v="0"/>
    <n v="2025"/>
    <m/>
    <m/>
    <s v="LUX"/>
    <n v="20000"/>
    <m/>
    <m/>
    <n v="20000"/>
    <n v="50241.51700000001"/>
    <x v="0"/>
    <x v="0"/>
    <s v="A. CAPITAUX PROPRES"/>
    <x v="0"/>
    <m/>
    <x v="0"/>
    <m/>
    <x v="10"/>
    <x v="0"/>
    <s v="Tubia Edoardo"/>
    <x v="0"/>
    <m/>
  </r>
  <r>
    <d v="2025-11-27T00:00:00"/>
    <d v="2025-11-27T00:00:00"/>
    <n v="11"/>
    <x v="0"/>
    <n v="2025"/>
    <m/>
    <m/>
    <s v="LUX"/>
    <n v="40000"/>
    <m/>
    <m/>
    <n v="40000"/>
    <n v="90241.51700000001"/>
    <x v="0"/>
    <x v="0"/>
    <s v="A. CAPITAUX PROPRES"/>
    <x v="0"/>
    <m/>
    <x v="0"/>
    <m/>
    <x v="11"/>
    <x v="0"/>
    <s v="Tubia Edoardo"/>
    <x v="0"/>
    <m/>
  </r>
  <r>
    <d v="2025-12-02T00:00:00"/>
    <d v="2025-12-02T00:00:00"/>
    <n v="12"/>
    <x v="0"/>
    <n v="2025"/>
    <n v="306246"/>
    <n v="6.12492"/>
    <s v="LUX"/>
    <n v="-50000"/>
    <m/>
    <m/>
    <n v="-50000"/>
    <n v="40241.51700000001"/>
    <x v="0"/>
    <x v="2"/>
    <s v="23 - IMMOBILISATIONS FINANCIERES"/>
    <x v="3"/>
    <m/>
    <x v="9"/>
    <m/>
    <x v="8"/>
    <x v="0"/>
    <s v="Green Enerbras One SCSp"/>
    <x v="0"/>
    <m/>
  </r>
  <r>
    <d v="2025-12-02T00:00:00"/>
    <d v="2025-12-02T00:00:00"/>
    <n v="12"/>
    <x v="0"/>
    <n v="2025"/>
    <m/>
    <m/>
    <s v="LUX"/>
    <n v="-5"/>
    <m/>
    <m/>
    <n v="-5"/>
    <n v="40236.51700000001"/>
    <x v="1"/>
    <x v="1"/>
    <m/>
    <x v="2"/>
    <m/>
    <x v="8"/>
    <m/>
    <x v="7"/>
    <x v="0"/>
    <s v="Green Enerbras One SCSp"/>
    <x v="0"/>
    <m/>
  </r>
  <r>
    <d v="2025-12-02T00:00:00"/>
    <d v="2025-12-02T00:00:00"/>
    <n v="12"/>
    <x v="0"/>
    <n v="2025"/>
    <m/>
    <m/>
    <s v="LUX"/>
    <n v="-4"/>
    <m/>
    <m/>
    <n v="-4"/>
    <n v="40232.51700000001"/>
    <x v="1"/>
    <x v="1"/>
    <m/>
    <x v="2"/>
    <m/>
    <x v="8"/>
    <m/>
    <x v="7"/>
    <x v="0"/>
    <s v="Green Enerbras One SCSp"/>
    <x v="0"/>
    <m/>
  </r>
  <r>
    <d v="2025-12-03T00:00:00"/>
    <d v="2025-12-03T00:00:00"/>
    <n v="12"/>
    <x v="0"/>
    <n v="2025"/>
    <m/>
    <m/>
    <s v="LUX"/>
    <n v="20000"/>
    <m/>
    <m/>
    <n v="20000"/>
    <n v="60232.51700000001"/>
    <x v="0"/>
    <x v="0"/>
    <s v="A. CAPITAUX PROPRES"/>
    <x v="0"/>
    <m/>
    <x v="0"/>
    <m/>
    <x v="12"/>
    <x v="0"/>
    <s v="Tubia Enrico"/>
    <x v="0"/>
    <m/>
  </r>
  <r>
    <d v="2025-12-09T00:00:00"/>
    <d v="2025-12-09T00:00:00"/>
    <n v="12"/>
    <x v="0"/>
    <n v="2025"/>
    <m/>
    <m/>
    <s v="LUX"/>
    <n v="20000"/>
    <m/>
    <m/>
    <n v="20000"/>
    <n v="80232.51700000001"/>
    <x v="0"/>
    <x v="0"/>
    <s v="A. CAPITAUX PROPRES"/>
    <x v="0"/>
    <m/>
    <x v="0"/>
    <m/>
    <x v="13"/>
    <x v="0"/>
    <s v="Zaniboni Elisa"/>
    <x v="0"/>
    <m/>
  </r>
  <r>
    <d v="2025-12-11T00:00:00"/>
    <d v="2025-12-11T00:00:00"/>
    <n v="12"/>
    <x v="0"/>
    <n v="2025"/>
    <m/>
    <m/>
    <s v="LUX"/>
    <n v="20000"/>
    <m/>
    <m/>
    <n v="20000"/>
    <n v="100232.517"/>
    <x v="0"/>
    <x v="0"/>
    <s v="A. CAPITAUX PROPRES"/>
    <x v="0"/>
    <m/>
    <x v="0"/>
    <m/>
    <x v="14"/>
    <x v="0"/>
    <s v="Zaniboni Greta"/>
    <x v="0"/>
    <m/>
  </r>
  <r>
    <d v="2025-12-15T00:00:00"/>
    <d v="2025-12-15T00:00:00"/>
    <n v="12"/>
    <x v="0"/>
    <n v="2025"/>
    <n v="317841"/>
    <n v="6.35682"/>
    <s v="LUX"/>
    <n v="-50000"/>
    <m/>
    <m/>
    <n v="-50000"/>
    <n v="50232.51700000001"/>
    <x v="0"/>
    <x v="2"/>
    <s v="23 - IMMOBILISATIONS FINANCIERES"/>
    <x v="3"/>
    <m/>
    <x v="9"/>
    <m/>
    <x v="8"/>
    <x v="0"/>
    <s v="Green Enerbras One SCSp"/>
    <x v="0"/>
    <m/>
  </r>
  <r>
    <d v="2025-12-15T00:00:00"/>
    <d v="2025-12-15T00:00:00"/>
    <n v="12"/>
    <x v="0"/>
    <n v="2025"/>
    <m/>
    <m/>
    <s v="LUX"/>
    <n v="-5"/>
    <m/>
    <m/>
    <n v="-5"/>
    <n v="50227.51700000001"/>
    <x v="1"/>
    <x v="1"/>
    <m/>
    <x v="2"/>
    <m/>
    <x v="8"/>
    <m/>
    <x v="7"/>
    <x v="0"/>
    <s v="Green Enerbras One SCSp"/>
    <x v="0"/>
    <m/>
  </r>
  <r>
    <d v="2025-12-15T00:00:00"/>
    <d v="2025-12-15T00:00:00"/>
    <n v="12"/>
    <x v="0"/>
    <n v="2025"/>
    <m/>
    <m/>
    <s v="LUX"/>
    <n v="-4"/>
    <m/>
    <m/>
    <n v="-4"/>
    <n v="50223.51700000001"/>
    <x v="1"/>
    <x v="1"/>
    <m/>
    <x v="2"/>
    <m/>
    <x v="8"/>
    <m/>
    <x v="7"/>
    <x v="0"/>
    <s v="Green Enerbras One SCSp"/>
    <x v="0"/>
    <m/>
  </r>
  <r>
    <d v="2026-01-15T00:00:00"/>
    <d v="2026-01-15T00:00:00"/>
    <n v="1"/>
    <x v="1"/>
    <n v="2026"/>
    <m/>
    <m/>
    <s v="LUX"/>
    <n v="-250"/>
    <m/>
    <m/>
    <n v="-250"/>
    <n v="49973.51700000001"/>
    <x v="1"/>
    <x v="1"/>
    <m/>
    <x v="2"/>
    <m/>
    <x v="8"/>
    <m/>
    <x v="7"/>
    <x v="0"/>
    <s v="Green Enerbras One SCSp"/>
    <x v="0"/>
    <m/>
  </r>
  <r>
    <d v="2026-01-26T00:00:00"/>
    <d v="2026-01-26T00:00:00"/>
    <n v="1"/>
    <x v="1"/>
    <n v="2025"/>
    <m/>
    <m/>
    <s v="LUX"/>
    <n v="-341.88"/>
    <n v="0.17"/>
    <n v="-58.12"/>
    <n v="-400"/>
    <n v="49573.51700000001"/>
    <x v="1"/>
    <x v="1"/>
    <m/>
    <x v="4"/>
    <m/>
    <x v="10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400"/>
    <n v="49173.51700000001"/>
    <x v="1"/>
    <x v="1"/>
    <m/>
    <x v="4"/>
    <m/>
    <x v="10"/>
    <s v="New Life Sàrl 013/2026"/>
    <x v="0"/>
    <x v="1"/>
    <s v="Tubia Silvia"/>
    <x v="0"/>
    <m/>
  </r>
  <r>
    <d v="2026-01-26T00:00:00"/>
    <d v="2026-01-26T00:00:00"/>
    <n v="1"/>
    <x v="1"/>
    <n v="2025"/>
    <m/>
    <m/>
    <s v="LUX"/>
    <n v="-341.88"/>
    <n v="0.17"/>
    <n v="-58.12"/>
    <n v="-400"/>
    <n v="48773.51700000001"/>
    <x v="1"/>
    <x v="1"/>
    <m/>
    <x v="4"/>
    <m/>
    <x v="10"/>
    <s v="New Life Sàrl 013/2026"/>
    <x v="0"/>
    <x v="1"/>
    <s v="Tubia Edoardo"/>
    <x v="0"/>
    <m/>
  </r>
  <r>
    <d v="2026-01-26T00:00:00"/>
    <d v="2026-01-26T00:00:00"/>
    <n v="1"/>
    <x v="1"/>
    <n v="2025"/>
    <m/>
    <m/>
    <s v="LUX"/>
    <n v="-341.88"/>
    <n v="0.17"/>
    <n v="-58.12"/>
    <n v="-400"/>
    <n v="48373.51700000001"/>
    <x v="1"/>
    <x v="1"/>
    <m/>
    <x v="4"/>
    <m/>
    <x v="10"/>
    <s v="New Life Sàrl 013/2026"/>
    <x v="0"/>
    <x v="1"/>
    <s v="Bertozzi Stefano"/>
    <x v="0"/>
    <m/>
  </r>
  <r>
    <d v="2026-01-26T00:00:00"/>
    <d v="2026-01-26T00:00:00"/>
    <n v="1"/>
    <x v="1"/>
    <n v="2025"/>
    <m/>
    <m/>
    <s v="LUX"/>
    <n v="-341.88"/>
    <n v="0.17"/>
    <n v="-58.12"/>
    <n v="-400"/>
    <n v="47973.51700000001"/>
    <x v="1"/>
    <x v="1"/>
    <m/>
    <x v="4"/>
    <m/>
    <x v="10"/>
    <s v="New Life Sàrl 013/2026"/>
    <x v="0"/>
    <x v="1"/>
    <s v="De Miguel Bellvis Maria"/>
    <x v="0"/>
    <m/>
  </r>
  <r>
    <d v="2026-01-26T00:00:00"/>
    <d v="2026-01-26T00:00:00"/>
    <n v="1"/>
    <x v="1"/>
    <n v="2025"/>
    <m/>
    <m/>
    <s v="LUX"/>
    <n v="-683.76"/>
    <n v="0.17"/>
    <n v="-116.24"/>
    <n v="-800"/>
    <n v="47173.51700000001"/>
    <x v="1"/>
    <x v="1"/>
    <m/>
    <x v="4"/>
    <m/>
    <x v="10"/>
    <s v="New Life Sàrl 013/2026"/>
    <x v="0"/>
    <x v="1"/>
    <s v="Desiderio Salvatore"/>
    <x v="0"/>
    <m/>
  </r>
  <r>
    <d v="2026-01-26T00:00:00"/>
    <d v="2026-01-26T00:00:00"/>
    <n v="1"/>
    <x v="1"/>
    <n v="2025"/>
    <m/>
    <m/>
    <s v="LUX"/>
    <n v="-341.88"/>
    <n v="0.17"/>
    <n v="-58.12"/>
    <n v="-400"/>
    <n v="46773.51700000001"/>
    <x v="1"/>
    <x v="1"/>
    <m/>
    <x v="4"/>
    <m/>
    <x v="10"/>
    <s v="New Life Sàrl 013/2026"/>
    <x v="0"/>
    <x v="1"/>
    <s v="Tubia Enrico"/>
    <x v="0"/>
    <m/>
  </r>
  <r>
    <d v="2026-01-26T00:00:00"/>
    <d v="2026-01-26T00:00:00"/>
    <n v="1"/>
    <x v="1"/>
    <n v="2025"/>
    <m/>
    <m/>
    <s v="LUX"/>
    <n v="-341.88"/>
    <n v="0.17"/>
    <n v="-58.12"/>
    <n v="-400"/>
    <n v="46373.51700000001"/>
    <x v="1"/>
    <x v="1"/>
    <m/>
    <x v="4"/>
    <m/>
    <x v="10"/>
    <s v="New Life Sàrl 013/2026"/>
    <x v="0"/>
    <x v="1"/>
    <s v="Zaniboni Elisa"/>
    <x v="0"/>
    <m/>
  </r>
  <r>
    <d v="2026-01-26T00:00:00"/>
    <d v="2026-01-26T00:00:00"/>
    <n v="1"/>
    <x v="1"/>
    <n v="2025"/>
    <m/>
    <m/>
    <s v="LUX"/>
    <n v="-341.88"/>
    <n v="0.17"/>
    <n v="-58.12"/>
    <n v="-400"/>
    <n v="45973.51700000001"/>
    <x v="1"/>
    <x v="1"/>
    <m/>
    <x v="4"/>
    <m/>
    <x v="10"/>
    <s v="New Life Sàrl 013/2026"/>
    <x v="0"/>
    <x v="1"/>
    <s v="Zaniboni Greta"/>
    <x v="0"/>
    <m/>
  </r>
  <r>
    <d v="2026-01-26T00:00:00"/>
    <d v="2026-01-26T00:00:00"/>
    <n v="1"/>
    <x v="1"/>
    <n v="2025"/>
    <m/>
    <m/>
    <s v="LUX"/>
    <n v="3418.8"/>
    <n v="0.17"/>
    <n v="581.2"/>
    <n v="4000"/>
    <n v="49973.51700000001"/>
    <x v="1"/>
    <x v="1"/>
    <m/>
    <x v="4"/>
    <m/>
    <x v="10"/>
    <s v="New Life Sàrl 013/2026"/>
    <x v="0"/>
    <x v="1"/>
    <s v="NEW LIFE Sàrl"/>
    <x v="0"/>
    <m/>
  </r>
  <r>
    <d v="2026-01-26T00:00:00"/>
    <d v="2026-01-26T00:00:00"/>
    <n v="1"/>
    <x v="1"/>
    <n v="2025"/>
    <m/>
    <m/>
    <s v="LUX"/>
    <n v="-3418.8"/>
    <n v="0.17"/>
    <n v="-581.2"/>
    <n v="-4000"/>
    <n v="45973.51700000001"/>
    <x v="1"/>
    <x v="1"/>
    <m/>
    <x v="4"/>
    <m/>
    <x v="10"/>
    <s v="New Life Sàrl 013/2026"/>
    <x v="0"/>
    <x v="1"/>
    <s v="Green Enerbras One SCSp"/>
    <x v="0"/>
    <m/>
  </r>
  <r>
    <d v="2026-04-17T00:00:00"/>
    <d v="2026-04-17T00:00:00"/>
    <n v="4"/>
    <x v="1"/>
    <n v="2026"/>
    <m/>
    <m/>
    <s v="LUX"/>
    <n v="-250"/>
    <m/>
    <m/>
    <n v="-250"/>
    <n v="45723.51700000001"/>
    <x v="1"/>
    <x v="1"/>
    <m/>
    <x v="2"/>
    <m/>
    <x v="8"/>
    <m/>
    <x v="7"/>
    <x v="0"/>
    <s v="Green Enerbras One SCSp"/>
    <x v="0"/>
    <m/>
  </r>
  <r>
    <d v="2026-04-27T00:00:00"/>
    <d v="2026-04-27T00:00:00"/>
    <n v="4"/>
    <x v="1"/>
    <n v="2025"/>
    <m/>
    <m/>
    <s v="LUX"/>
    <n v="-15"/>
    <n v="0.17"/>
    <n v="-2.55"/>
    <n v="-17.55"/>
    <n v="45705.967"/>
    <x v="1"/>
    <x v="1"/>
    <m/>
    <x v="1"/>
    <m/>
    <x v="4"/>
    <s v="008-2025"/>
    <x v="3"/>
    <x v="1"/>
    <s v="Green Enerbras One SCSp"/>
    <x v="0"/>
    <s v="X"/>
  </r>
  <r>
    <d v="2026-04-27T00:00:00"/>
    <d v="2026-04-27T00:00:00"/>
    <n v="4"/>
    <x v="1"/>
    <n v="2025"/>
    <m/>
    <m/>
    <s v="LUX"/>
    <n v="15"/>
    <n v="0.17"/>
    <n v="2.55"/>
    <n v="17.55"/>
    <n v="45723.51700000001"/>
    <x v="1"/>
    <x v="1"/>
    <m/>
    <x v="1"/>
    <m/>
    <x v="7"/>
    <m/>
    <x v="1"/>
    <x v="0"/>
    <s v="Green Enerbras One SCSp"/>
    <x v="0"/>
    <s v="X"/>
  </r>
  <r>
    <d v="2026-04-27T00:00:00"/>
    <d v="2026-04-27T00:00:00"/>
    <n v="4"/>
    <x v="1"/>
    <n v="2025"/>
    <m/>
    <m/>
    <s v="LUX"/>
    <n v="-15"/>
    <n v="0.17"/>
    <n v="-2.55"/>
    <n v="-17.55"/>
    <n v="45705.967"/>
    <x v="1"/>
    <x v="1"/>
    <m/>
    <x v="1"/>
    <m/>
    <x v="7"/>
    <m/>
    <x v="1"/>
    <x v="0"/>
    <s v="Green Enerbras One SCSp"/>
    <x v="0"/>
    <s v="X"/>
  </r>
  <r>
    <d v="2026-05-07T00:00:00"/>
    <d v="2026-05-07T00:00:00"/>
    <n v="5"/>
    <x v="1"/>
    <n v="2026"/>
    <n v="227258"/>
    <n v="5.68145"/>
    <s v="LUX"/>
    <n v="-40000"/>
    <m/>
    <m/>
    <n v="-40000"/>
    <n v="5705.967000000004"/>
    <x v="0"/>
    <x v="2"/>
    <s v="23 - IMMOBILISATIONS FINANCIERES"/>
    <x v="3"/>
    <m/>
    <x v="9"/>
    <m/>
    <x v="8"/>
    <x v="0"/>
    <s v="Green Enerbras One SCSp"/>
    <x v="0"/>
    <m/>
  </r>
  <r>
    <d v="2026-05-07T00:00:00"/>
    <d v="2026-05-07T00:00:00"/>
    <n v="5"/>
    <x v="1"/>
    <n v="2026"/>
    <m/>
    <m/>
    <s v="LUX"/>
    <n v="-5"/>
    <m/>
    <m/>
    <n v="-5"/>
    <n v="5700.967000000004"/>
    <x v="1"/>
    <x v="1"/>
    <m/>
    <x v="2"/>
    <m/>
    <x v="8"/>
    <m/>
    <x v="7"/>
    <x v="0"/>
    <s v="Green Enerbras One SCSp"/>
    <x v="0"/>
    <m/>
  </r>
  <r>
    <d v="2026-05-07T00:00:00"/>
    <d v="2026-05-07T00:00:00"/>
    <n v="5"/>
    <x v="1"/>
    <n v="2026"/>
    <m/>
    <m/>
    <s v="LUX"/>
    <n v="-4"/>
    <m/>
    <m/>
    <n v="-4"/>
    <n v="5696.967000000004"/>
    <x v="1"/>
    <x v="1"/>
    <m/>
    <x v="2"/>
    <m/>
    <x v="8"/>
    <m/>
    <x v="7"/>
    <x v="0"/>
    <s v="Green Enerbras One SCSp"/>
    <x v="0"/>
    <m/>
  </r>
  <r>
    <d v="2026-07-17T00:00:00"/>
    <d v="2026-07-17T00:00:00"/>
    <n v="7"/>
    <x v="1"/>
    <n v="2026"/>
    <m/>
    <m/>
    <s v="LUX"/>
    <n v="40000"/>
    <m/>
    <m/>
    <n v="40000"/>
    <n v="45696.967"/>
    <x v="0"/>
    <x v="0"/>
    <s v="A. CAPITAUX PROPRES"/>
    <x v="0"/>
    <m/>
    <x v="0"/>
    <m/>
    <x v="15"/>
    <x v="0"/>
    <s v="Sterzi Marco"/>
    <x v="0"/>
    <m/>
  </r>
  <r>
    <d v="2026-07-17T00:00:00"/>
    <d v="2026-07-17T00:00:00"/>
    <n v="7"/>
    <x v="1"/>
    <n v="2026"/>
    <m/>
    <m/>
    <s v="LUX"/>
    <n v="20000"/>
    <m/>
    <m/>
    <n v="20000"/>
    <n v="65696.967"/>
    <x v="0"/>
    <x v="0"/>
    <s v="A. CAPITAUX PROPRES"/>
    <x v="0"/>
    <m/>
    <x v="0"/>
    <m/>
    <x v="16"/>
    <x v="0"/>
    <s v="Miletti Giovanni"/>
    <x v="0"/>
    <m/>
  </r>
  <r>
    <d v="2026-07-17T00:00:00"/>
    <d v="2026-07-17T00:00:00"/>
    <n v="7"/>
    <x v="1"/>
    <n v="2026"/>
    <m/>
    <m/>
    <s v="LUX"/>
    <n v="-683.76"/>
    <n v="0.17"/>
    <n v="-116.24"/>
    <n v="-800"/>
    <n v="64896.967"/>
    <x v="1"/>
    <x v="1"/>
    <m/>
    <x v="4"/>
    <m/>
    <x v="10"/>
    <s v="New Life Sàrl 014/2026"/>
    <x v="0"/>
    <x v="1"/>
    <s v="Sterzi Marco"/>
    <x v="0"/>
    <m/>
  </r>
  <r>
    <d v="2026-07-17T00:00:00"/>
    <d v="2026-07-17T00:00:00"/>
    <n v="7"/>
    <x v="1"/>
    <n v="2026"/>
    <m/>
    <m/>
    <s v="LUX"/>
    <n v="-341.88"/>
    <n v="0.17"/>
    <n v="-58.12"/>
    <n v="-400"/>
    <n v="64496.967"/>
    <x v="1"/>
    <x v="1"/>
    <m/>
    <x v="4"/>
    <m/>
    <x v="10"/>
    <s v="New Life Sàrl 014/2026"/>
    <x v="0"/>
    <x v="1"/>
    <s v="Miletti Giovanni"/>
    <x v="0"/>
    <m/>
  </r>
  <r>
    <d v="2026-07-17T00:00:00"/>
    <d v="2026-07-17T00:00:00"/>
    <n v="7"/>
    <x v="1"/>
    <n v="2026"/>
    <m/>
    <m/>
    <s v="LUX"/>
    <n v="1025.64"/>
    <n v="0.17"/>
    <n v="174.36"/>
    <n v="1200"/>
    <n v="65696.967"/>
    <x v="1"/>
    <x v="1"/>
    <m/>
    <x v="4"/>
    <m/>
    <x v="10"/>
    <s v="New Life Sàrl 014/2026"/>
    <x v="0"/>
    <x v="1"/>
    <s v="NEW LIFE Sàrl"/>
    <x v="0"/>
    <m/>
  </r>
  <r>
    <d v="2026-07-17T00:00:00"/>
    <d v="2026-07-17T00:00:00"/>
    <n v="7"/>
    <x v="1"/>
    <n v="2026"/>
    <m/>
    <m/>
    <s v="LUX"/>
    <n v="-1025.64"/>
    <n v="0.17"/>
    <n v="-174.36"/>
    <n v="-1200"/>
    <n v="64496.967"/>
    <x v="1"/>
    <x v="1"/>
    <m/>
    <x v="4"/>
    <m/>
    <x v="10"/>
    <s v="New Life Sàrl 014/2026"/>
    <x v="0"/>
    <x v="1"/>
    <s v="Green Enerbras One SCSp"/>
    <x v="0"/>
    <m/>
  </r>
  <r>
    <d v="2026-07-21T00:00:00"/>
    <d v="2026-07-21T00:00:00"/>
    <n v="7"/>
    <x v="1"/>
    <n v="2026"/>
    <m/>
    <m/>
    <s v="LUX"/>
    <n v="-250"/>
    <m/>
    <m/>
    <n v="-250"/>
    <n v="64246.967"/>
    <x v="1"/>
    <x v="1"/>
    <m/>
    <x v="2"/>
    <m/>
    <x v="8"/>
    <m/>
    <x v="7"/>
    <x v="0"/>
    <s v="Green Enerbras One SCSp"/>
    <x v="0"/>
    <m/>
  </r>
  <r>
    <d v="2026-07-27T00:00:00"/>
    <d v="2026-07-27T00:00:00"/>
    <n v="7"/>
    <x v="1"/>
    <n v="2026"/>
    <n v="287356"/>
    <n v="5.74712"/>
    <s v="LUX"/>
    <n v="-50000"/>
    <m/>
    <m/>
    <n v="-50000"/>
    <n v="14246.967"/>
    <x v="0"/>
    <x v="2"/>
    <s v="23 - IMMOBILISATIONS FINANCIERES"/>
    <x v="3"/>
    <m/>
    <x v="9"/>
    <m/>
    <x v="8"/>
    <x v="0"/>
    <s v="Green Enerbras One SCSp"/>
    <x v="0"/>
    <m/>
  </r>
  <r>
    <d v="2026-07-27T00:00:00"/>
    <d v="2026-07-27T00:00:00"/>
    <n v="7"/>
    <x v="1"/>
    <n v="2026"/>
    <m/>
    <m/>
    <s v="LUX"/>
    <n v="-25"/>
    <m/>
    <m/>
    <n v="-25"/>
    <n v="14221.967"/>
    <x v="1"/>
    <x v="1"/>
    <m/>
    <x v="2"/>
    <m/>
    <x v="8"/>
    <m/>
    <x v="7"/>
    <x v="0"/>
    <s v="Green Enerbras One SCSp"/>
    <x v="0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n v="1443941"/>
    <n v="6.016420833333333"/>
    <m/>
    <n v="-240000"/>
    <m/>
    <m/>
    <n v="14221.967"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m/>
    <x v="2"/>
    <m/>
    <m/>
    <m/>
    <m/>
    <m/>
    <m/>
    <m/>
    <m/>
    <m/>
    <x v="2"/>
    <x v="3"/>
    <m/>
    <x v="4"/>
    <m/>
    <x v="11"/>
    <m/>
    <x v="17"/>
    <x v="1"/>
    <m/>
    <x v="1"/>
    <m/>
  </r>
  <r>
    <m/>
    <m/>
    <s v=""/>
    <x v="3"/>
    <m/>
    <m/>
    <m/>
    <s v="LUX"/>
    <n v="0"/>
    <n v="0.17"/>
    <n v="0"/>
    <n v="0"/>
    <n v="0"/>
    <x v="1"/>
    <x v="1"/>
    <m/>
    <x v="1"/>
    <m/>
    <x v="4"/>
    <s v="009-2025"/>
    <x v="3"/>
    <x v="1"/>
    <s v="Green Enerbras One SCSp"/>
    <x v="2"/>
    <s v="X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D55" firstHeaderRow="1" firstDataRow="2" firstDataCol="1" rowPageCount="3" colPageCount="1"/>
  <pivotFields count="25"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axis="axisCol" showDropDowns="1" compact="1" outline="1" subtotalTop="0" dragToRow="1" dragToCol="1" dragToPage="1" dragToData="1" dragOff="1" showAll="0" topAutoShow="1" itemPageCount="10" sortType="ascending" defaultSubtotal="0">
      <items count="4">
        <item t="data" sd="1" x="0"/>
        <item t="data" sd="1" x="1"/>
        <item t="data" sd="1" x="3"/>
        <item t="data" sd="1" x="2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multipleItemSelectionAllowed="1" dragToPage="1" dragToData="1" dragOff="1" showAll="0" topAutoShow="1" itemPageCount="10" sortType="manual" defaultSubtotal="0">
      <items count="3">
        <item t="data" h="1" sd="1" x="2"/>
        <item t="data" sd="1" x="1"/>
        <item t="data" sd="1" x="0"/>
      </items>
    </pivotField>
    <pivotField axis="axisRow" showDropDowns="1" compact="1" outline="1" subtotalTop="0" dragToRow="1" dragToCol="1" dragToPage="1" dragToData="1" dragOff="1" showAll="0" topAutoShow="1" itemPageCount="10" sortType="manual" defaultSubtotal="0">
      <items count="4">
        <item t="data" sd="1" x="0"/>
        <item t="data" sd="1" x="3"/>
        <item t="data" sd="1" x="2"/>
        <item t="data" sd="1" x="1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Row" showDropDowns="1" compact="1" outline="1" subtotalTop="0" dragToRow="1" dragToCol="1" dragToPage="1" dragToData="1" dragOff="1" showAll="0" topAutoShow="1" itemPageCount="10" sortType="ascending" defaultSubtotal="0">
      <items count="5">
        <item t="data" sd="1" x="3"/>
        <item t="data" sd="1" x="2"/>
        <item t="data" sd="1" x="1"/>
        <item t="data" sd="1" x="0"/>
        <item t="data" sd="1" x="4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Row" showDropDowns="1" compact="1" outline="1" subtotalTop="0" dragToRow="1" dragToCol="1" dragToPage="1" dragToData="1" dragOff="1" showAll="0" topAutoShow="1" itemPageCount="10" sortType="manual" defaultSubtotal="0">
      <items count="16">
        <item t="data" sd="1" m="1" x="14"/>
        <item t="data" sd="1" x="11"/>
        <item t="data" sd="1" x="2"/>
        <item t="data" sd="1" x="1"/>
        <item t="data" sd="1" m="1" x="12"/>
        <item t="data" sd="1" m="1" x="13"/>
        <item t="data" sd="1" m="1" x="15"/>
        <item t="data" sd="1" x="0"/>
        <item t="data" sd="1" x="7"/>
        <item t="data" sd="1" x="8"/>
        <item t="data" sd="1" x="9"/>
        <item t="data" sd="1" x="10"/>
        <item t="data" sd="1" x="3"/>
        <item t="data" sd="1" x="4"/>
        <item t="data" sd="1" x="5"/>
        <item t="data" sd="1" x="6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Row" showDropDowns="1" compact="1" outline="1" subtotalTop="0" dragToRow="1" dragToCol="1" dragToPage="1" dragToData="1" dragOff="1" showAll="0" topAutoShow="1" itemPageCount="10" sortType="manual" defaultSubtotal="0">
      <items count="20">
        <item t="data" sd="1" x="7"/>
        <item t="data" sd="1" x="9"/>
        <item t="data" sd="1" x="10"/>
        <item t="data" sd="1" x="11"/>
        <item t="data" sd="1" m="1" x="19"/>
        <item t="data" sd="1" m="1" x="18"/>
        <item t="data" sd="1" x="5"/>
        <item t="data" sd="1" x="3"/>
        <item t="data" sd="1" x="2"/>
        <item t="data" sd="1" x="8"/>
        <item t="data" sd="1" x="1"/>
        <item t="data" sd="1" x="12"/>
        <item t="data" sd="1" x="6"/>
        <item t="data" sd="1" x="17"/>
        <item t="data" sd="1" x="13"/>
        <item t="data" sd="1" x="14"/>
        <item t="data" sd="1" x="0"/>
        <item t="data" sd="1" x="4"/>
        <item t="data" sd="1" x="15"/>
        <item t="data" sd="1" x="16"/>
      </items>
    </pivotField>
    <pivotField axis="axisPage" showDropDowns="1" compact="1" outline="1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dragToPage="1" dragToData="1" dragOff="1" showAll="0" topAutoShow="1" itemPageCount="10" sortType="manual" defaultSubtotal="0">
      <items count="3">
        <item t="data" sd="1" x="2"/>
        <item t="data" sd="1" x="0"/>
        <item t="data" sd="1" x="1"/>
      </items>
    </pivotField>
    <pivotField showDropDowns="1" compact="1" outline="1" subtotalTop="0" dragToRow="1" dragToCol="1" dragToPage="1" dragToData="1" dragOff="1" showAll="0" topAutoShow="1" itemPageCount="10" sortType="manual" defaultSubtotal="0"/>
  </pivotFields>
  <rowFields count="4">
    <field x="14"/>
    <field x="16"/>
    <field x="20"/>
    <field x="18"/>
  </rowFields>
  <rowItems count="49">
    <i t="data" r="0" i="0">
      <x v="0"/>
    </i>
    <i t="data" r="1" i="0">
      <x v="3"/>
    </i>
    <i t="data" r="2" i="0">
      <x v="1"/>
    </i>
    <i t="data" r="3" i="0">
      <x v="7"/>
    </i>
    <i t="data" r="2" i="0">
      <x v="2"/>
    </i>
    <i t="data" r="3" i="0">
      <x v="7"/>
    </i>
    <i t="data" r="2" i="0">
      <x v="3"/>
    </i>
    <i t="data" r="3" i="0">
      <x v="7"/>
    </i>
    <i t="data" r="2" i="0">
      <x v="10"/>
    </i>
    <i t="data" r="3" i="0">
      <x v="7"/>
    </i>
    <i t="data" r="2" i="0">
      <x v="11"/>
    </i>
    <i t="data" r="3" i="0">
      <x v="7"/>
    </i>
    <i t="data" r="2" i="0">
      <x v="12"/>
    </i>
    <i t="data" r="3" i="0">
      <x v="7"/>
    </i>
    <i t="data" r="2" i="0">
      <x v="14"/>
    </i>
    <i t="data" r="3" i="0">
      <x v="7"/>
    </i>
    <i t="data" r="2" i="0">
      <x v="15"/>
    </i>
    <i t="data" r="3" i="0">
      <x v="7"/>
    </i>
    <i t="data" r="2" i="0">
      <x v="16"/>
    </i>
    <i t="data" r="3" i="0">
      <x v="7"/>
    </i>
    <i t="data" r="2" i="0">
      <x v="18"/>
    </i>
    <i t="data" r="3" i="0">
      <x v="7"/>
    </i>
    <i t="data" r="2" i="0">
      <x v="19"/>
    </i>
    <i t="data" r="3" i="0">
      <x v="7"/>
    </i>
    <i t="data" r="0" i="0">
      <x v="2"/>
    </i>
    <i t="data" r="1" i="0">
      <x v="0"/>
    </i>
    <i t="data" r="2" i="0">
      <x v="9"/>
    </i>
    <i t="data" r="3" i="0">
      <x v="10"/>
    </i>
    <i t="data" r="0" i="0">
      <x v="3"/>
    </i>
    <i t="data" r="1" i="0">
      <x v="1"/>
    </i>
    <i t="data" r="2" i="0">
      <x v="0"/>
    </i>
    <i t="data" r="3" i="0">
      <x v="9"/>
    </i>
    <i t="data" r="1" i="0">
      <x v="2"/>
    </i>
    <i t="data" r="2" i="0">
      <x v="6"/>
    </i>
    <i t="data" r="3" i="0">
      <x v="15"/>
    </i>
    <i t="data" r="2" i="0">
      <x v="7"/>
    </i>
    <i t="data" r="3" i="0">
      <x v="13"/>
    </i>
    <i t="data" r="2" i="0">
      <x v="8"/>
    </i>
    <i t="data" r="3" i="0">
      <x v="2"/>
    </i>
    <i t="data" r="3" i="0">
      <x v="3"/>
    </i>
    <i t="data" r="3" i="0">
      <x v="12"/>
    </i>
    <i t="data" r="2" i="0">
      <x v="10"/>
    </i>
    <i t="data" r="3" i="0">
      <x v="8"/>
    </i>
    <i t="data" r="2" i="0">
      <x v="17"/>
    </i>
    <i t="data" r="3" i="0">
      <x v="14"/>
    </i>
    <i t="data" r="1" i="0">
      <x v="4"/>
    </i>
    <i t="data" r="2" i="0">
      <x v="16"/>
    </i>
    <i t="data" r="3" i="0">
      <x v="11"/>
    </i>
    <i t="grand" r="0" i="0">
      <x v="0"/>
    </i>
  </rowItems>
  <colFields count="1">
    <field x="3"/>
  </colFields>
  <colItems count="3">
    <i t="data" r="0" i="0">
      <x v="0"/>
    </i>
    <i t="data" r="0" i="0">
      <x v="1"/>
    </i>
    <i t="grand" r="0" i="0">
      <x v="0"/>
    </i>
  </colItems>
  <pageFields count="3">
    <pageField fld="13" hier="-1"/>
    <pageField fld="21" hier="-1"/>
    <pageField fld="23" item="1" hier="-1"/>
  </pageFields>
  <dataFields count="1">
    <dataField name="Sum of Importo" fld="11" subtotal="sum" showDataAs="normal" baseField="1" baseItem="64" numFmtId="8"/>
  </dataFields>
  <formats count="3">
    <format action="formatting" dxfId="3">
      <pivotArea field="14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3">
            <x v="0"/>
          </reference>
        </references>
      </pivotArea>
    </format>
    <format action="formatting" dxfId="1">
      <pivotArea type="normal" dataOnly="0" labelOnly="1" grandCol="1" outline="0" fieldPosition="0"/>
    </format>
  </formats>
  <pivotTableStyleInfo name="PivotStyleLight2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82"/>
  <sheetViews>
    <sheetView tabSelected="1" topLeftCell="G1" workbookViewId="0">
      <pane ySplit="6" topLeftCell="A8" activePane="bottomLeft" state="frozen"/>
      <selection activeCell="L1" sqref="L1"/>
      <selection pane="bottomLeft" activeCell="L64" sqref="L64"/>
    </sheetView>
  </sheetViews>
  <sheetFormatPr baseColWidth="8" defaultColWidth="9.140625" defaultRowHeight="12.75"/>
  <cols>
    <col width="2.7109375" customWidth="1" style="15" min="1" max="1"/>
    <col width="6.140625" customWidth="1" style="14" min="2" max="2"/>
    <col width="13.140625" customWidth="1" style="14" min="3" max="3"/>
    <col width="11.42578125" customWidth="1" style="14" min="4" max="4"/>
    <col width="6.7109375" customWidth="1" style="14" min="5" max="5"/>
    <col width="7.28515625" customWidth="1" style="14" min="6" max="7"/>
    <col width="10.28515625" customWidth="1" style="14" min="8" max="8"/>
    <col width="22" customWidth="1" style="15" min="9" max="9"/>
    <col width="39.5703125" customWidth="1" style="15" min="10" max="10"/>
    <col width="29.42578125" customWidth="1" style="15" min="11" max="11"/>
    <col width="29.140625" customWidth="1" style="14" min="12" max="12"/>
    <col width="31" customWidth="1" style="14" min="13" max="13"/>
    <col width="11" customWidth="1" style="61" min="14" max="14"/>
    <col width="12.85546875" customWidth="1" style="14" min="15" max="15"/>
    <col width="12" customWidth="1" style="14" min="16" max="16"/>
    <col width="13.28515625" customWidth="1" style="194" min="17" max="17"/>
    <col width="13.28515625" customWidth="1" style="195" min="18" max="18"/>
    <col width="4.42578125" customWidth="1" style="15" min="19" max="19"/>
    <col width="12.140625" customWidth="1" style="18" min="20" max="20"/>
    <col width="12.42578125" customWidth="1" style="18" min="21" max="21"/>
    <col width="9.7109375" bestFit="1" customWidth="1" style="15" min="22" max="22"/>
    <col width="9.140625" customWidth="1" style="15" min="23" max="16384"/>
  </cols>
  <sheetData>
    <row r="1" ht="15.75" customFormat="1" customHeight="1" s="25">
      <c r="B1" s="24" t="n"/>
      <c r="C1" s="24" t="n"/>
      <c r="D1" s="24" t="n"/>
      <c r="E1" s="24" t="n"/>
      <c r="F1" s="24" t="n"/>
      <c r="G1" s="24" t="n"/>
      <c r="H1" s="24" t="n"/>
      <c r="K1" s="57" t="inlineStr">
        <is>
          <t>BANQUE DE LUXEMBOURG</t>
        </is>
      </c>
      <c r="L1" s="26" t="n"/>
      <c r="M1" s="24" t="n"/>
      <c r="N1" s="58" t="n"/>
      <c r="O1" s="24" t="n"/>
      <c r="P1" s="24" t="n"/>
      <c r="Q1" s="196" t="n"/>
      <c r="R1" s="197" t="n"/>
      <c r="T1" s="29" t="n"/>
      <c r="U1" s="29" t="n"/>
    </row>
    <row r="2" ht="15.75" customFormat="1" customHeight="1" s="25">
      <c r="B2" s="24" t="n"/>
      <c r="C2" s="24" t="n"/>
      <c r="D2" s="30" t="n"/>
      <c r="E2" s="30" t="n"/>
      <c r="F2" s="30" t="n"/>
      <c r="G2" s="30" t="n"/>
      <c r="H2" s="30" t="n"/>
      <c r="I2" s="29" t="n"/>
      <c r="J2" s="63" t="inlineStr">
        <is>
          <t>Green Enerbras One SCSp</t>
        </is>
      </c>
      <c r="K2" s="57" t="inlineStr">
        <is>
          <t>Luxembourg</t>
        </is>
      </c>
      <c r="L2" s="64" t="inlineStr">
        <is>
          <t>Iban:</t>
        </is>
      </c>
      <c r="M2" s="65" t="inlineStr">
        <is>
          <t>LU47 0080 4433 4290 2001</t>
        </is>
      </c>
      <c r="N2" s="59" t="n"/>
      <c r="O2" s="30" t="n"/>
      <c r="P2" s="30" t="n"/>
      <c r="Q2" s="196" t="n"/>
      <c r="R2" s="197" t="n"/>
      <c r="T2" s="29" t="n"/>
      <c r="U2" s="29" t="n"/>
    </row>
    <row r="3" ht="15.75" customFormat="1" customHeight="1" s="25">
      <c r="B3" s="24" t="n"/>
      <c r="C3" s="24" t="n"/>
      <c r="D3" s="24" t="n"/>
      <c r="E3" s="24" t="n"/>
      <c r="F3" s="24" t="n"/>
      <c r="G3" s="24" t="n"/>
      <c r="H3" s="24" t="n"/>
      <c r="I3" s="29" t="n"/>
      <c r="J3" s="29" t="n"/>
      <c r="K3" s="57" t="inlineStr">
        <is>
          <t>RCS: B295061</t>
        </is>
      </c>
      <c r="L3" s="64" t="inlineStr">
        <is>
          <t>Bic:</t>
        </is>
      </c>
      <c r="M3" s="65" t="inlineStr">
        <is>
          <t>BLUX LULL</t>
        </is>
      </c>
      <c r="N3" s="58" t="n"/>
      <c r="O3" s="24" t="n"/>
      <c r="P3" s="24" t="n"/>
      <c r="Q3" s="196" t="n"/>
      <c r="R3" s="197" t="n"/>
      <c r="T3" s="29" t="n"/>
      <c r="U3" s="29" t="n"/>
    </row>
    <row r="4" ht="15.75" customFormat="1" customHeight="1" s="25">
      <c r="B4" s="24" t="n"/>
      <c r="C4" s="24" t="n"/>
      <c r="D4" s="24" t="n"/>
      <c r="E4" s="24" t="n"/>
      <c r="F4" s="24" t="n"/>
      <c r="G4" s="24" t="n"/>
      <c r="H4" s="24" t="n"/>
      <c r="I4" s="29" t="n"/>
      <c r="J4" s="29" t="n"/>
      <c r="K4" s="34" t="n"/>
      <c r="L4" s="64" t="inlineStr">
        <is>
          <t>Fiscal:</t>
        </is>
      </c>
      <c r="M4" s="65" t="inlineStr">
        <is>
          <t>2025 5805 747</t>
        </is>
      </c>
      <c r="N4" s="58" t="n"/>
      <c r="O4" s="24" t="n"/>
      <c r="P4" s="24" t="n"/>
      <c r="Q4" s="196" t="n"/>
      <c r="R4" s="197" t="n"/>
      <c r="T4" s="29" t="n"/>
      <c r="U4" s="29" t="n"/>
    </row>
    <row r="5" customFormat="1" s="25">
      <c r="B5" s="24" t="n"/>
      <c r="C5" s="24" t="n"/>
      <c r="D5" s="24" t="n"/>
      <c r="E5" s="24" t="n"/>
      <c r="F5" s="24" t="n"/>
      <c r="G5" s="24" t="n"/>
      <c r="H5" s="24" t="n"/>
      <c r="I5" s="30" t="n"/>
      <c r="J5" s="30" t="inlineStr">
        <is>
          <t>C/C Ordinario in EUR</t>
        </is>
      </c>
      <c r="K5" s="29" t="n"/>
      <c r="L5" s="26" t="n"/>
      <c r="M5" s="24" t="n"/>
      <c r="N5" s="58" t="n"/>
      <c r="O5" s="24" t="n"/>
      <c r="P5" s="49" t="n">
        <v>0.17</v>
      </c>
      <c r="Q5" s="198" t="inlineStr">
        <is>
          <t>CASH</t>
        </is>
      </c>
      <c r="R5" s="199" t="n"/>
      <c r="T5" s="29" t="n"/>
      <c r="U5" s="29" t="n"/>
    </row>
    <row r="6" ht="25.5" customFormat="1" customHeight="1" s="26">
      <c r="B6" s="103" t="inlineStr">
        <is>
          <t>Nr</t>
        </is>
      </c>
      <c r="C6" s="101" t="inlineStr">
        <is>
          <t>Date Comptable</t>
        </is>
      </c>
      <c r="D6" s="101" t="inlineStr">
        <is>
          <t>Date Valeur</t>
        </is>
      </c>
      <c r="E6" s="101" t="inlineStr">
        <is>
          <t>Mois</t>
        </is>
      </c>
      <c r="F6" s="101" t="inlineStr">
        <is>
          <t>Année</t>
        </is>
      </c>
      <c r="G6" s="101" t="inlineStr">
        <is>
          <t>Competenza</t>
        </is>
      </c>
      <c r="H6" s="101" t="inlineStr">
        <is>
          <t>PAYE-NON</t>
        </is>
      </c>
      <c r="I6" s="101" t="inlineStr">
        <is>
          <t>CAT</t>
        </is>
      </c>
      <c r="J6" s="101" t="inlineStr">
        <is>
          <t>Description</t>
        </is>
      </c>
      <c r="K6" s="101" t="inlineStr">
        <is>
          <t>Ordinante</t>
        </is>
      </c>
      <c r="L6" s="101" t="inlineStr">
        <is>
          <t>Partner</t>
        </is>
      </c>
      <c r="M6" s="101" t="inlineStr">
        <is>
          <t>Beneficiario</t>
        </is>
      </c>
      <c r="N6" s="102" t="inlineStr">
        <is>
          <t>REF</t>
        </is>
      </c>
      <c r="O6" s="200" t="inlineStr">
        <is>
          <t>Montant</t>
        </is>
      </c>
      <c r="P6" s="200" t="inlineStr">
        <is>
          <t>TVA</t>
        </is>
      </c>
      <c r="Q6" s="200" t="inlineStr">
        <is>
          <t>Total</t>
        </is>
      </c>
      <c r="R6" s="201" t="inlineStr">
        <is>
          <t>Solde</t>
        </is>
      </c>
    </row>
    <row r="7" customFormat="1" s="25">
      <c r="B7" s="31" t="n">
        <v>1</v>
      </c>
      <c r="C7" s="32" t="n"/>
      <c r="D7" s="32" t="n"/>
      <c r="E7" s="32" t="n"/>
      <c r="F7" s="32" t="n"/>
      <c r="G7" s="32" t="n"/>
      <c r="H7" s="32" t="n"/>
      <c r="I7" s="25" t="inlineStr">
        <is>
          <t>Saldo iniziale</t>
        </is>
      </c>
      <c r="L7" s="24" t="n"/>
      <c r="M7" s="24" t="n"/>
      <c r="N7" s="58" t="n"/>
      <c r="O7" s="196" t="n">
        <v>0</v>
      </c>
      <c r="P7" s="196" t="n">
        <v>0</v>
      </c>
      <c r="Q7" s="196">
        <f>O7+P7</f>
        <v/>
      </c>
      <c r="R7" s="202">
        <f>Q7</f>
        <v/>
      </c>
    </row>
    <row r="8" ht="15" customFormat="1" customHeight="1" s="25">
      <c r="B8" s="31">
        <f>B7+1</f>
        <v/>
      </c>
      <c r="C8" s="32" t="n">
        <v>45898</v>
      </c>
      <c r="D8" s="32" t="n">
        <v>45898</v>
      </c>
      <c r="E8" s="9">
        <f>IF(C8="","",MONTH(C8))</f>
        <v/>
      </c>
      <c r="F8" s="9">
        <f>IF(C8="","",YEAR(C8))</f>
        <v/>
      </c>
      <c r="G8" s="9" t="n">
        <v>2025</v>
      </c>
      <c r="H8" s="32" t="inlineStr">
        <is>
          <t xml:space="preserve">PAYE </t>
        </is>
      </c>
      <c r="I8" s="25" t="inlineStr">
        <is>
          <t>Capital Contribution</t>
        </is>
      </c>
      <c r="J8" s="25" t="inlineStr">
        <is>
          <t>Paiement Capital Contribution</t>
        </is>
      </c>
      <c r="K8" s="25" t="inlineStr">
        <is>
          <t>New Life Sarl - G.P.</t>
        </is>
      </c>
      <c r="L8" s="34" t="inlineStr">
        <is>
          <t>New Life Sarl</t>
        </is>
      </c>
      <c r="M8" s="25" t="inlineStr">
        <is>
          <t>Green Enerbras One SCSp</t>
        </is>
      </c>
      <c r="N8" s="58" t="n"/>
      <c r="O8" s="196" t="n">
        <v>1000</v>
      </c>
      <c r="P8" s="196" t="n">
        <v>0</v>
      </c>
      <c r="Q8" s="196">
        <f>O8+P8</f>
        <v/>
      </c>
      <c r="R8" s="203">
        <f>R7+Q8</f>
        <v/>
      </c>
      <c r="U8" s="204" t="n"/>
    </row>
    <row r="9" ht="15" customFormat="1" customHeight="1" s="25">
      <c r="B9" s="31">
        <f>B8+1</f>
        <v/>
      </c>
      <c r="C9" s="32" t="n">
        <v>45901</v>
      </c>
      <c r="D9" s="32" t="n">
        <v>45901</v>
      </c>
      <c r="E9" s="9">
        <f>IF(C9="","",MONTH(C9))</f>
        <v/>
      </c>
      <c r="F9" s="9">
        <f>IF(C9="","",YEAR(C9))</f>
        <v/>
      </c>
      <c r="G9" s="9" t="n">
        <v>2025</v>
      </c>
      <c r="H9" s="32" t="inlineStr">
        <is>
          <t xml:space="preserve">PAYE </t>
        </is>
      </c>
      <c r="I9" s="25" t="inlineStr">
        <is>
          <t>Capital Contribution</t>
        </is>
      </c>
      <c r="J9" s="25" t="inlineStr">
        <is>
          <t>Paiement Capital Contribution</t>
        </is>
      </c>
      <c r="K9" s="25" t="inlineStr">
        <is>
          <t>Tubia Edoardo</t>
        </is>
      </c>
      <c r="L9" s="34" t="inlineStr">
        <is>
          <t>Tubia Edoardo</t>
        </is>
      </c>
      <c r="M9" s="25" t="inlineStr">
        <is>
          <t>Green Enerbras One SCSp</t>
        </is>
      </c>
      <c r="N9" s="58" t="n"/>
      <c r="O9" s="196" t="n">
        <v>10000</v>
      </c>
      <c r="P9" s="196" t="n">
        <v>0</v>
      </c>
      <c r="Q9" s="196">
        <f>O9+P9</f>
        <v/>
      </c>
      <c r="R9" s="203">
        <f>R8+Q9</f>
        <v/>
      </c>
      <c r="U9" s="204" t="n"/>
    </row>
    <row r="10" ht="15" customFormat="1" customHeight="1" s="25">
      <c r="B10" s="31">
        <f>B9+1</f>
        <v/>
      </c>
      <c r="C10" s="32" t="n">
        <v>45747</v>
      </c>
      <c r="D10" s="32" t="n">
        <v>45902</v>
      </c>
      <c r="E10" s="9">
        <f>IF(C10="","",MONTH(C10))</f>
        <v/>
      </c>
      <c r="F10" s="9">
        <f>IF(C10="","",YEAR(C10))</f>
        <v/>
      </c>
      <c r="G10" s="9" t="n">
        <v>2025</v>
      </c>
      <c r="H10" s="32" t="inlineStr">
        <is>
          <t xml:space="preserve">PAYE </t>
        </is>
      </c>
      <c r="I10" s="25" t="inlineStr">
        <is>
          <t>Frais Administratives</t>
        </is>
      </c>
      <c r="J10" s="25" t="inlineStr">
        <is>
          <t>Immatriculation - Frais administratifs</t>
        </is>
      </c>
      <c r="K10" s="25" t="inlineStr">
        <is>
          <t>Green Enerbras One SCSp</t>
        </is>
      </c>
      <c r="L10" s="34" t="n"/>
      <c r="M10" s="47" t="inlineStr">
        <is>
          <t>RCS Luxembourg</t>
        </is>
      </c>
      <c r="N10" s="58" t="inlineStr">
        <is>
          <t>001/2025</t>
        </is>
      </c>
      <c r="O10" s="196" t="n">
        <v>-105.91</v>
      </c>
      <c r="P10" s="196">
        <f>O10*$P$5</f>
        <v/>
      </c>
      <c r="Q10" s="196">
        <f>O10+P10</f>
        <v/>
      </c>
      <c r="R10" s="203">
        <f>R9+Q10</f>
        <v/>
      </c>
      <c r="U10" s="204" t="n"/>
    </row>
    <row r="11" ht="15" customFormat="1" customHeight="1" s="25">
      <c r="B11" s="31">
        <f>B10+1</f>
        <v/>
      </c>
      <c r="C11" s="32" t="n">
        <v>45747</v>
      </c>
      <c r="D11" s="32" t="n">
        <v>45902</v>
      </c>
      <c r="E11" s="9">
        <f>IF(C11="","",MONTH(C11))</f>
        <v/>
      </c>
      <c r="F11" s="9">
        <f>IF(C11="","",YEAR(C11))</f>
        <v/>
      </c>
      <c r="G11" s="9" t="n">
        <v>2025</v>
      </c>
      <c r="H11" s="32" t="inlineStr">
        <is>
          <t xml:space="preserve">PAYE </t>
        </is>
      </c>
      <c r="I11" s="25" t="inlineStr">
        <is>
          <t>Frais Administratives</t>
        </is>
      </c>
      <c r="J11" s="25" t="inlineStr">
        <is>
          <t>Frais d'Extrait RCS</t>
        </is>
      </c>
      <c r="K11" s="25" t="inlineStr">
        <is>
          <t>Green Enerbras One SCSp</t>
        </is>
      </c>
      <c r="L11" s="34" t="n"/>
      <c r="M11" s="47" t="inlineStr">
        <is>
          <t>RCS Luxembourg</t>
        </is>
      </c>
      <c r="N11" s="58" t="inlineStr">
        <is>
          <t>001/2025</t>
        </is>
      </c>
      <c r="O11" s="196" t="n">
        <v>-12</v>
      </c>
      <c r="P11" s="196" t="n">
        <v>0</v>
      </c>
      <c r="Q11" s="196">
        <f>O11+P11</f>
        <v/>
      </c>
      <c r="R11" s="203">
        <f>R10+Q11</f>
        <v/>
      </c>
      <c r="U11" s="204" t="n"/>
    </row>
    <row r="12" ht="15" customFormat="1" customHeight="1" s="25">
      <c r="B12" s="31">
        <f>B11+1</f>
        <v/>
      </c>
      <c r="C12" s="32" t="n">
        <v>45754</v>
      </c>
      <c r="D12" s="32" t="n">
        <v>45902</v>
      </c>
      <c r="E12" s="9">
        <f>IF(C12="","",MONTH(C12))</f>
        <v/>
      </c>
      <c r="F12" s="9">
        <f>IF(C12="","",YEAR(C12))</f>
        <v/>
      </c>
      <c r="G12" s="9" t="n">
        <v>2025</v>
      </c>
      <c r="H12" s="32" t="inlineStr">
        <is>
          <t xml:space="preserve">PAYE </t>
        </is>
      </c>
      <c r="I12" s="25" t="inlineStr">
        <is>
          <t>Frais Administratives</t>
        </is>
      </c>
      <c r="J12" s="25" t="inlineStr">
        <is>
          <t>Frais d'Extrait RCS - Papier Securise</t>
        </is>
      </c>
      <c r="K12" s="25" t="inlineStr">
        <is>
          <t>Green Enerbras One SCSp</t>
        </is>
      </c>
      <c r="L12" s="34" t="n"/>
      <c r="M12" s="47" t="inlineStr">
        <is>
          <t>RCS Luxembourg</t>
        </is>
      </c>
      <c r="N12" s="58" t="inlineStr">
        <is>
          <t>002/2025</t>
        </is>
      </c>
      <c r="O12" s="196" t="n">
        <v>-21.43</v>
      </c>
      <c r="P12" s="196">
        <f>O12*$P$5</f>
        <v/>
      </c>
      <c r="Q12" s="196">
        <f>O12+P12</f>
        <v/>
      </c>
      <c r="R12" s="203">
        <f>R11+Q12</f>
        <v/>
      </c>
      <c r="U12" s="204" t="n"/>
    </row>
    <row r="13" ht="15" customFormat="1" customHeight="1" s="25">
      <c r="B13" s="31">
        <f>B12+1</f>
        <v/>
      </c>
      <c r="C13" s="32" t="n">
        <v>45754</v>
      </c>
      <c r="D13" s="32" t="n">
        <v>45902</v>
      </c>
      <c r="E13" s="9">
        <f>IF(C13="","",MONTH(C13))</f>
        <v/>
      </c>
      <c r="F13" s="9">
        <f>IF(C13="","",YEAR(C13))</f>
        <v/>
      </c>
      <c r="G13" s="9" t="n">
        <v>2025</v>
      </c>
      <c r="H13" s="32" t="inlineStr">
        <is>
          <t xml:space="preserve">PAYE </t>
        </is>
      </c>
      <c r="I13" s="25" t="inlineStr">
        <is>
          <t>Frais Administratives</t>
        </is>
      </c>
      <c r="J13" s="25" t="inlineStr">
        <is>
          <t>Inscription au RBE des Beneficiaires effectifs</t>
        </is>
      </c>
      <c r="K13" s="25" t="inlineStr">
        <is>
          <t>Green Enerbras One SCSp</t>
        </is>
      </c>
      <c r="L13" s="34" t="n"/>
      <c r="M13" s="47" t="inlineStr">
        <is>
          <t>RCS Luxembourg</t>
        </is>
      </c>
      <c r="N13" s="58" t="inlineStr">
        <is>
          <t>003/2025</t>
        </is>
      </c>
      <c r="O13" s="196" t="n">
        <v>-15</v>
      </c>
      <c r="P13" s="196">
        <f>O13*$P$5</f>
        <v/>
      </c>
      <c r="Q13" s="196">
        <f>O13+P13</f>
        <v/>
      </c>
      <c r="R13" s="203">
        <f>R12+Q13</f>
        <v/>
      </c>
      <c r="U13" s="204" t="n"/>
    </row>
    <row r="14" ht="15" customFormat="1" customHeight="1" s="25">
      <c r="B14" s="31">
        <f>B13+1</f>
        <v/>
      </c>
      <c r="C14" s="32" t="n">
        <v>45754</v>
      </c>
      <c r="D14" s="32" t="n">
        <v>45902</v>
      </c>
      <c r="E14" s="9">
        <f>IF(C14="","",MONTH(C14))</f>
        <v/>
      </c>
      <c r="F14" s="9">
        <f>IF(C14="","",YEAR(C14))</f>
        <v/>
      </c>
      <c r="G14" s="9" t="n">
        <v>2025</v>
      </c>
      <c r="H14" s="32" t="inlineStr">
        <is>
          <t xml:space="preserve">PAYE </t>
        </is>
      </c>
      <c r="I14" s="25" t="inlineStr">
        <is>
          <t>Frais Administratives</t>
        </is>
      </c>
      <c r="J14" s="25" t="inlineStr">
        <is>
          <t>Legalisation et apostille sur documentation</t>
        </is>
      </c>
      <c r="K14" s="25" t="inlineStr">
        <is>
          <t>Green Enerbras One SCSp</t>
        </is>
      </c>
      <c r="L14" s="34" t="n"/>
      <c r="M14" s="47" t="inlineStr">
        <is>
          <t>Ministere des Affaires Etrangeres et Europeennes</t>
        </is>
      </c>
      <c r="N14" s="58" t="inlineStr">
        <is>
          <t>004/2025</t>
        </is>
      </c>
      <c r="O14" s="196" t="n">
        <v>-60</v>
      </c>
      <c r="P14" s="196" t="n">
        <v>0</v>
      </c>
      <c r="Q14" s="196">
        <f>O14+P14</f>
        <v/>
      </c>
      <c r="R14" s="203">
        <f>R13+Q14</f>
        <v/>
      </c>
      <c r="U14" s="204" t="n"/>
    </row>
    <row r="15" ht="15" customFormat="1" customHeight="1" s="25">
      <c r="B15" s="31">
        <f>B14+1</f>
        <v/>
      </c>
      <c r="C15" s="32" t="n">
        <v>45755</v>
      </c>
      <c r="D15" s="32" t="n">
        <v>45902</v>
      </c>
      <c r="E15" s="9">
        <f>IF(C15="","",MONTH(C15))</f>
        <v/>
      </c>
      <c r="F15" s="9">
        <f>IF(C15="","",YEAR(C15))</f>
        <v/>
      </c>
      <c r="G15" s="9" t="n">
        <v>2025</v>
      </c>
      <c r="H15" s="32" t="inlineStr">
        <is>
          <t xml:space="preserve">PAYE </t>
        </is>
      </c>
      <c r="I15" s="25" t="inlineStr">
        <is>
          <t>Frais Administratives</t>
        </is>
      </c>
      <c r="J15" s="25" t="inlineStr">
        <is>
          <t>Légalisation et apostille sur documentation</t>
        </is>
      </c>
      <c r="K15" s="25" t="inlineStr">
        <is>
          <t>Green Enerbras One SCSp</t>
        </is>
      </c>
      <c r="L15" s="34" t="n"/>
      <c r="M15" s="47" t="inlineStr">
        <is>
          <t>Ministere des Affaires Etrangeres et Europeennes</t>
        </is>
      </c>
      <c r="N15" s="58" t="inlineStr">
        <is>
          <t>005/2025</t>
        </is>
      </c>
      <c r="O15" s="196" t="n">
        <v>-40</v>
      </c>
      <c r="P15" s="196" t="n">
        <v>0</v>
      </c>
      <c r="Q15" s="196">
        <f>O15+P15</f>
        <v/>
      </c>
      <c r="R15" s="203">
        <f>R14+Q15</f>
        <v/>
      </c>
      <c r="U15" s="204" t="n"/>
    </row>
    <row r="16" ht="15" customFormat="1" customHeight="1" s="25">
      <c r="B16" s="31">
        <f>B15+1</f>
        <v/>
      </c>
      <c r="C16" s="32" t="n">
        <v>45779</v>
      </c>
      <c r="D16" s="32" t="n">
        <v>45902</v>
      </c>
      <c r="E16" s="9">
        <f>IF(C16="","",MONTH(C16))</f>
        <v/>
      </c>
      <c r="F16" s="9">
        <f>IF(C16="","",YEAR(C16))</f>
        <v/>
      </c>
      <c r="G16" s="9" t="n">
        <v>2025</v>
      </c>
      <c r="H16" s="32" t="inlineStr">
        <is>
          <t xml:space="preserve">PAYE </t>
        </is>
      </c>
      <c r="I16" s="25" t="inlineStr">
        <is>
          <t>Frais Administratives</t>
        </is>
      </c>
      <c r="J16" s="25" t="inlineStr">
        <is>
          <t>Legalisation documentation</t>
        </is>
      </c>
      <c r="K16" s="25" t="inlineStr">
        <is>
          <t>Green Enerbras One SCSp</t>
        </is>
      </c>
      <c r="L16" s="34" t="n"/>
      <c r="M16" s="47" t="inlineStr">
        <is>
          <t>Notaire Martine Schaeffer</t>
        </is>
      </c>
      <c r="N16" s="58" t="inlineStr">
        <is>
          <t>006/2025</t>
        </is>
      </c>
      <c r="O16" s="196" t="n">
        <v>-25.64</v>
      </c>
      <c r="P16" s="196">
        <f>O16*$P$5</f>
        <v/>
      </c>
      <c r="Q16" s="196">
        <f>O16+P16</f>
        <v/>
      </c>
      <c r="R16" s="203">
        <f>R15+Q16</f>
        <v/>
      </c>
      <c r="U16" s="204" t="n"/>
    </row>
    <row r="17" ht="15" customFormat="1" customHeight="1" s="25">
      <c r="B17" s="31">
        <f>B16+1</f>
        <v/>
      </c>
      <c r="C17" s="32" t="n">
        <v>45796</v>
      </c>
      <c r="D17" s="32" t="n">
        <v>45902</v>
      </c>
      <c r="E17" s="9">
        <f>IF(C17="","",MONTH(C17))</f>
        <v/>
      </c>
      <c r="F17" s="9">
        <f>IF(C17="","",YEAR(C17))</f>
        <v/>
      </c>
      <c r="G17" s="9" t="n">
        <v>2025</v>
      </c>
      <c r="H17" s="32" t="inlineStr">
        <is>
          <t xml:space="preserve">PAYE </t>
        </is>
      </c>
      <c r="I17" s="25" t="inlineStr">
        <is>
          <t>Frais Administratives</t>
        </is>
      </c>
      <c r="J17" s="25" t="inlineStr">
        <is>
          <t>Legalisation documentation</t>
        </is>
      </c>
      <c r="K17" s="25" t="inlineStr">
        <is>
          <t>Green Enerbras One SCSp</t>
        </is>
      </c>
      <c r="L17" s="34" t="n"/>
      <c r="M17" s="47" t="inlineStr">
        <is>
          <t>Notaire Martine Schaeffer</t>
        </is>
      </c>
      <c r="N17" s="58" t="inlineStr">
        <is>
          <t>007/2025</t>
        </is>
      </c>
      <c r="O17" s="196" t="n">
        <v>-60</v>
      </c>
      <c r="P17" s="196" t="n">
        <v>0</v>
      </c>
      <c r="Q17" s="196">
        <f>O17+P17</f>
        <v/>
      </c>
      <c r="R17" s="203">
        <f>R16+Q17</f>
        <v/>
      </c>
      <c r="U17" s="204" t="n"/>
    </row>
    <row r="18" ht="15" customFormat="1" customHeight="1" s="25">
      <c r="B18" s="31">
        <f>B17+1</f>
        <v/>
      </c>
      <c r="C18" s="32" t="n">
        <v>45796</v>
      </c>
      <c r="D18" s="32" t="n">
        <v>45902</v>
      </c>
      <c r="E18" s="9">
        <f>IF(C18="","",MONTH(C18))</f>
        <v/>
      </c>
      <c r="F18" s="9">
        <f>IF(C18="","",YEAR(C18))</f>
        <v/>
      </c>
      <c r="G18" s="9" t="n">
        <v>2025</v>
      </c>
      <c r="H18" s="32" t="inlineStr">
        <is>
          <t xml:space="preserve">PAYE </t>
        </is>
      </c>
      <c r="I18" s="25" t="inlineStr">
        <is>
          <t>Frais Administratives</t>
        </is>
      </c>
      <c r="J18" s="25" t="inlineStr">
        <is>
          <t>Legalisation documentation</t>
        </is>
      </c>
      <c r="K18" s="25" t="inlineStr">
        <is>
          <t>Green Enerbras One SCSp</t>
        </is>
      </c>
      <c r="L18" s="34" t="n"/>
      <c r="M18" s="47" t="inlineStr">
        <is>
          <t>Notaire Martine Schaeffer</t>
        </is>
      </c>
      <c r="N18" s="58" t="inlineStr">
        <is>
          <t>007/2025</t>
        </is>
      </c>
      <c r="O18" s="196" t="n">
        <v>-96.92</v>
      </c>
      <c r="P18" s="196">
        <f>O18*$P$5</f>
        <v/>
      </c>
      <c r="Q18" s="196">
        <f>O18+P18</f>
        <v/>
      </c>
      <c r="R18" s="203">
        <f>R17+Q18</f>
        <v/>
      </c>
      <c r="U18" s="204" t="n"/>
    </row>
    <row r="19" ht="15" customFormat="1" customHeight="1" s="25">
      <c r="B19" s="31">
        <f>B18+1</f>
        <v/>
      </c>
      <c r="C19" s="32" t="n">
        <v>45854</v>
      </c>
      <c r="D19" s="32" t="n">
        <v>45902</v>
      </c>
      <c r="E19" s="9">
        <f>IF(C19="","",MONTH(C19))</f>
        <v/>
      </c>
      <c r="F19" s="9">
        <f>IF(C19="","",YEAR(C19))</f>
        <v/>
      </c>
      <c r="G19" s="9" t="n">
        <v>2025</v>
      </c>
      <c r="H19" s="32" t="inlineStr">
        <is>
          <t xml:space="preserve">PAYE </t>
        </is>
      </c>
      <c r="I19" s="25" t="inlineStr">
        <is>
          <t>Frais Administratives</t>
        </is>
      </c>
      <c r="J19" s="25" t="inlineStr">
        <is>
          <t>Inscription au RBE des Beneficiaires effectifs</t>
        </is>
      </c>
      <c r="K19" s="25" t="inlineStr">
        <is>
          <t>Green Enerbras One SCSp</t>
        </is>
      </c>
      <c r="L19" s="34" t="n"/>
      <c r="M19" s="47" t="inlineStr">
        <is>
          <t>RCS Luxembourg</t>
        </is>
      </c>
      <c r="N19" s="58" t="inlineStr">
        <is>
          <t>008/2025</t>
        </is>
      </c>
      <c r="O19" s="196" t="n">
        <v>-15</v>
      </c>
      <c r="P19" s="196">
        <f>O19*$P$5</f>
        <v/>
      </c>
      <c r="Q19" s="196">
        <f>O19+P19</f>
        <v/>
      </c>
      <c r="R19" s="203">
        <f>R18+Q19</f>
        <v/>
      </c>
      <c r="U19" s="204" t="n"/>
    </row>
    <row r="20" ht="15" customFormat="1" customHeight="1" s="25">
      <c r="B20" s="31">
        <f>B19+1</f>
        <v/>
      </c>
      <c r="C20" s="32" t="n">
        <v>45902</v>
      </c>
      <c r="D20" s="32" t="n">
        <v>45902</v>
      </c>
      <c r="E20" s="9">
        <f>IF(C20="","",MONTH(C20))</f>
        <v/>
      </c>
      <c r="F20" s="9">
        <f>IF(C20="","",YEAR(C20))</f>
        <v/>
      </c>
      <c r="G20" s="9" t="n">
        <v>2025</v>
      </c>
      <c r="H20" s="32" t="inlineStr">
        <is>
          <t xml:space="preserve">PAYE </t>
        </is>
      </c>
      <c r="I20" s="25" t="inlineStr">
        <is>
          <t>Frais Administratives</t>
        </is>
      </c>
      <c r="J20" s="25" t="inlineStr">
        <is>
          <t>Total frais avances</t>
        </is>
      </c>
      <c r="K20" s="25" t="inlineStr">
        <is>
          <t>Tubia Edoardo</t>
        </is>
      </c>
      <c r="L20" s="34" t="n"/>
      <c r="M20" s="47" t="inlineStr">
        <is>
          <t>Green Enerbras One SCSp</t>
        </is>
      </c>
      <c r="N20" s="58" t="n"/>
      <c r="O20" s="196" t="n">
        <v>451.9</v>
      </c>
      <c r="P20" s="196">
        <f>-SUM(P10:P19)</f>
        <v/>
      </c>
      <c r="Q20" s="196">
        <f>-SUM(Q10:Q19)</f>
        <v/>
      </c>
      <c r="R20" s="203">
        <f>R19+Q20</f>
        <v/>
      </c>
      <c r="U20" s="204" t="n"/>
    </row>
    <row r="21" ht="15" customFormat="1" customHeight="1" s="25">
      <c r="B21" s="31">
        <f>B20+1</f>
        <v/>
      </c>
      <c r="C21" s="32" t="n">
        <v>45902</v>
      </c>
      <c r="D21" s="32" t="n">
        <v>45902</v>
      </c>
      <c r="E21" s="9">
        <f>IF(C21="","",MONTH(C21))</f>
        <v/>
      </c>
      <c r="F21" s="9">
        <f>IF(C21="","",YEAR(C21))</f>
        <v/>
      </c>
      <c r="G21" s="9" t="n">
        <v>2025</v>
      </c>
      <c r="H21" s="32" t="inlineStr">
        <is>
          <t xml:space="preserve">PAYE </t>
        </is>
      </c>
      <c r="I21" s="25" t="inlineStr">
        <is>
          <t>Frais Administratives</t>
        </is>
      </c>
      <c r="J21" s="25" t="inlineStr">
        <is>
          <t>Remboursement des frais</t>
        </is>
      </c>
      <c r="K21" s="25" t="inlineStr">
        <is>
          <t>Green Enerbras One SCSp</t>
        </is>
      </c>
      <c r="L21" s="34" t="n"/>
      <c r="M21" s="47" t="inlineStr">
        <is>
          <t>Tubia Edoardo</t>
        </is>
      </c>
      <c r="N21" s="58" t="n"/>
      <c r="O21" s="196">
        <f>-O20</f>
        <v/>
      </c>
      <c r="P21" s="196">
        <f>-P20</f>
        <v/>
      </c>
      <c r="Q21" s="196">
        <f>-Q20</f>
        <v/>
      </c>
      <c r="R21" s="203">
        <f>R20+Q21</f>
        <v/>
      </c>
      <c r="U21" s="204" t="n"/>
    </row>
    <row r="22" ht="15" customFormat="1" customHeight="1" s="25">
      <c r="B22" s="31">
        <f>B21+1</f>
        <v/>
      </c>
      <c r="C22" s="32" t="n">
        <v>45909</v>
      </c>
      <c r="D22" s="32" t="n">
        <v>45909</v>
      </c>
      <c r="E22" s="9">
        <f>IF(C22="","",MONTH(C22))</f>
        <v/>
      </c>
      <c r="F22" s="9">
        <f>IF(C22="","",YEAR(C22))</f>
        <v/>
      </c>
      <c r="G22" s="9" t="n">
        <v>2025</v>
      </c>
      <c r="H22" s="32" t="inlineStr">
        <is>
          <t xml:space="preserve">PAYE </t>
        </is>
      </c>
      <c r="I22" s="25" t="inlineStr">
        <is>
          <t>Capital Contribution</t>
        </is>
      </c>
      <c r="J22" s="25" t="inlineStr">
        <is>
          <t>Paiement Capital Contribution</t>
        </is>
      </c>
      <c r="K22" s="25" t="inlineStr">
        <is>
          <t>Tubia Edoardo</t>
        </is>
      </c>
      <c r="L22" s="34" t="inlineStr">
        <is>
          <t>Tubia Edoardo</t>
        </is>
      </c>
      <c r="M22" s="25" t="inlineStr">
        <is>
          <t>Green Enerbras One SCSp</t>
        </is>
      </c>
      <c r="N22" s="58" t="n"/>
      <c r="O22" s="196" t="n">
        <v>10000</v>
      </c>
      <c r="P22" s="196" t="n">
        <v>0</v>
      </c>
      <c r="Q22" s="196">
        <f>O22+P22</f>
        <v/>
      </c>
      <c r="R22" s="203">
        <f>R21+Q22</f>
        <v/>
      </c>
      <c r="U22" s="204" t="n"/>
    </row>
    <row r="23" ht="15" customFormat="1" customHeight="1" s="25">
      <c r="B23" s="31">
        <f>B22+1</f>
        <v/>
      </c>
      <c r="C23" s="32" t="n">
        <v>45929</v>
      </c>
      <c r="D23" s="32" t="n">
        <v>45929</v>
      </c>
      <c r="E23" s="9">
        <f>IF(C23="","",MONTH(C23))</f>
        <v/>
      </c>
      <c r="F23" s="9">
        <f>IF(C23="","",YEAR(C23))</f>
        <v/>
      </c>
      <c r="G23" s="9" t="n">
        <v>2025</v>
      </c>
      <c r="H23" s="32" t="inlineStr">
        <is>
          <t>PAYE</t>
        </is>
      </c>
      <c r="I23" s="25" t="inlineStr">
        <is>
          <t>Capital Contribution</t>
        </is>
      </c>
      <c r="J23" s="25" t="inlineStr">
        <is>
          <t>Paiement Capital Contribution</t>
        </is>
      </c>
      <c r="K23" s="25" t="inlineStr">
        <is>
          <t>Tubia Silvia</t>
        </is>
      </c>
      <c r="L23" s="34" t="inlineStr">
        <is>
          <t>Tubia Silvia</t>
        </is>
      </c>
      <c r="M23" s="25" t="inlineStr">
        <is>
          <t>Green Enerbras One SCSp</t>
        </is>
      </c>
      <c r="N23" s="58" t="n"/>
      <c r="O23" s="196" t="n">
        <v>20000</v>
      </c>
      <c r="P23" s="196" t="n">
        <v>0</v>
      </c>
      <c r="Q23" s="196">
        <f>O23+P23</f>
        <v/>
      </c>
      <c r="R23" s="203">
        <f>R22+Q23</f>
        <v/>
      </c>
      <c r="U23" s="204" t="n"/>
    </row>
    <row r="24" ht="15" customFormat="1" customHeight="1" s="25">
      <c r="B24" s="31">
        <f>B23+1</f>
        <v/>
      </c>
      <c r="C24" s="32" t="n">
        <v>45931</v>
      </c>
      <c r="D24" s="32" t="n">
        <v>45931</v>
      </c>
      <c r="E24" s="9">
        <f>IF(C24="","",MONTH(C24))</f>
        <v/>
      </c>
      <c r="F24" s="9">
        <f>IF(C24="","",YEAR(C24))</f>
        <v/>
      </c>
      <c r="G24" s="9" t="n">
        <v>2025</v>
      </c>
      <c r="H24" s="32" t="inlineStr">
        <is>
          <t xml:space="preserve">PAYE </t>
        </is>
      </c>
      <c r="I24" s="25" t="inlineStr">
        <is>
          <t>Capital Contribution</t>
        </is>
      </c>
      <c r="J24" s="25" t="inlineStr">
        <is>
          <t>Paiement Capital Contribution</t>
        </is>
      </c>
      <c r="K24" s="25" t="inlineStr">
        <is>
          <t>Tubia Edoardo</t>
        </is>
      </c>
      <c r="L24" s="34" t="inlineStr">
        <is>
          <t>Tubia Edoardo</t>
        </is>
      </c>
      <c r="M24" s="25" t="inlineStr">
        <is>
          <t>Green Enerbras One SCSp</t>
        </is>
      </c>
      <c r="N24" s="58" t="n"/>
      <c r="O24" s="196" t="n">
        <v>20000</v>
      </c>
      <c r="P24" s="196" t="n">
        <v>0</v>
      </c>
      <c r="Q24" s="196">
        <f>O24+P24</f>
        <v/>
      </c>
      <c r="R24" s="203">
        <f>R23+Q24</f>
        <v/>
      </c>
      <c r="U24" s="204" t="n"/>
    </row>
    <row r="25" ht="15" customFormat="1" customHeight="1" s="25">
      <c r="B25" s="31">
        <f>B24+1</f>
        <v/>
      </c>
      <c r="C25" s="32" t="n">
        <v>45945</v>
      </c>
      <c r="D25" s="32" t="n">
        <v>45945</v>
      </c>
      <c r="E25" s="9">
        <f>IF(C25="","",MONTH(C25))</f>
        <v/>
      </c>
      <c r="F25" s="9">
        <f>IF(C25="","",YEAR(C25))</f>
        <v/>
      </c>
      <c r="G25" s="9" t="n">
        <v>2025</v>
      </c>
      <c r="H25" s="32" t="inlineStr">
        <is>
          <t xml:space="preserve">PAYE </t>
        </is>
      </c>
      <c r="I25" s="25" t="inlineStr">
        <is>
          <t>Frais bancaires</t>
        </is>
      </c>
      <c r="J25" s="25" t="inlineStr">
        <is>
          <t>Frais de tenue de compte</t>
        </is>
      </c>
      <c r="K25" s="25" t="inlineStr">
        <is>
          <t>Green Enerbras One SCSp</t>
        </is>
      </c>
      <c r="L25" s="34" t="n"/>
      <c r="M25" s="47" t="inlineStr">
        <is>
          <t>Banque de Luxembourg</t>
        </is>
      </c>
      <c r="N25" s="58" t="n"/>
      <c r="O25" s="196" t="n">
        <v>-250</v>
      </c>
      <c r="P25" s="196" t="n">
        <v>0</v>
      </c>
      <c r="Q25" s="196">
        <f>O25+P25</f>
        <v/>
      </c>
      <c r="R25" s="203">
        <f>R24+Q25</f>
        <v/>
      </c>
      <c r="U25" s="204" t="n"/>
    </row>
    <row r="26" ht="15" customFormat="1" customHeight="1" s="25">
      <c r="B26" s="31">
        <f>B25+1</f>
        <v/>
      </c>
      <c r="C26" s="32" t="n">
        <v>45973</v>
      </c>
      <c r="D26" s="32" t="n">
        <v>45973</v>
      </c>
      <c r="E26" s="9">
        <f>IF(C26="","",MONTH(C26))</f>
        <v/>
      </c>
      <c r="F26" s="9">
        <f>IF(C26="","",YEAR(C26))</f>
        <v/>
      </c>
      <c r="G26" s="9" t="n">
        <v>2025</v>
      </c>
      <c r="H26" s="32" t="inlineStr">
        <is>
          <t xml:space="preserve">PAYE </t>
        </is>
      </c>
      <c r="I26" s="25" t="inlineStr">
        <is>
          <t>Immobilisations</t>
        </is>
      </c>
      <c r="J26" s="25" t="inlineStr">
        <is>
          <t>Achat de participation</t>
        </is>
      </c>
      <c r="K26" s="25" t="inlineStr">
        <is>
          <t>Green Enerbras One SCSp</t>
        </is>
      </c>
      <c r="L26" s="34" t="n"/>
      <c r="M26" s="47" t="inlineStr">
        <is>
          <t>Tri Star Enerbras One SCP</t>
        </is>
      </c>
      <c r="N26" s="58" t="n"/>
      <c r="O26" s="196" t="n">
        <v>-50000</v>
      </c>
      <c r="P26" s="196" t="n">
        <v>0</v>
      </c>
      <c r="Q26" s="196">
        <f>O26+P26</f>
        <v/>
      </c>
      <c r="R26" s="203">
        <f>R25+Q26</f>
        <v/>
      </c>
      <c r="U26" s="204" t="n"/>
    </row>
    <row r="27" ht="15" customFormat="1" customHeight="1" s="25">
      <c r="B27" s="31">
        <f>B26+1</f>
        <v/>
      </c>
      <c r="C27" s="32" t="n">
        <v>45973</v>
      </c>
      <c r="D27" s="32" t="n">
        <v>45973</v>
      </c>
      <c r="E27" s="9">
        <f>IF(C27="","",MONTH(C27))</f>
        <v/>
      </c>
      <c r="F27" s="9">
        <f>IF(C27="","",YEAR(C27))</f>
        <v/>
      </c>
      <c r="G27" s="9" t="n">
        <v>2025</v>
      </c>
      <c r="H27" s="32" t="inlineStr">
        <is>
          <t xml:space="preserve">PAYE </t>
        </is>
      </c>
      <c r="I27" s="25" t="inlineStr">
        <is>
          <t>Frais bancaires</t>
        </is>
      </c>
      <c r="J27" s="25" t="inlineStr">
        <is>
          <t>Frais sur transfert</t>
        </is>
      </c>
      <c r="K27" s="25" t="inlineStr">
        <is>
          <t>Green Enerbras One SCSp</t>
        </is>
      </c>
      <c r="L27" s="34" t="n"/>
      <c r="M27" s="47" t="inlineStr">
        <is>
          <t>Banque de Luxembourg</t>
        </is>
      </c>
      <c r="N27" s="58" t="n"/>
      <c r="O27" s="196" t="n">
        <v>-5</v>
      </c>
      <c r="P27" s="196" t="n">
        <v>0</v>
      </c>
      <c r="Q27" s="196">
        <f>O27+P27</f>
        <v/>
      </c>
      <c r="R27" s="203">
        <f>R26+Q27</f>
        <v/>
      </c>
      <c r="U27" s="204" t="n"/>
    </row>
    <row r="28" ht="15" customFormat="1" customHeight="1" s="25">
      <c r="B28" s="31">
        <f>B27+1</f>
        <v/>
      </c>
      <c r="C28" s="32" t="n">
        <v>45973</v>
      </c>
      <c r="D28" s="32" t="n">
        <v>45973</v>
      </c>
      <c r="E28" s="9">
        <f>IF(C28="","",MONTH(C28))</f>
        <v/>
      </c>
      <c r="F28" s="9">
        <f>IF(C28="","",YEAR(C28))</f>
        <v/>
      </c>
      <c r="G28" s="9" t="n">
        <v>2025</v>
      </c>
      <c r="H28" s="32" t="inlineStr">
        <is>
          <t xml:space="preserve">PAYE </t>
        </is>
      </c>
      <c r="I28" s="25" t="inlineStr">
        <is>
          <t>Frais bancaires</t>
        </is>
      </c>
      <c r="J28" s="25" t="inlineStr">
        <is>
          <t>Frais sur transfert</t>
        </is>
      </c>
      <c r="K28" s="25" t="inlineStr">
        <is>
          <t>Green Enerbras One SCSp</t>
        </is>
      </c>
      <c r="L28" s="34" t="n"/>
      <c r="M28" s="47" t="inlineStr">
        <is>
          <t>Banque de Luxembourg</t>
        </is>
      </c>
      <c r="N28" s="58" t="n"/>
      <c r="O28" s="196" t="n">
        <v>-4</v>
      </c>
      <c r="P28" s="196" t="n">
        <v>0</v>
      </c>
      <c r="Q28" s="196">
        <f>O28+P28</f>
        <v/>
      </c>
      <c r="R28" s="203">
        <f>R27+Q28</f>
        <v/>
      </c>
      <c r="U28" s="204" t="n"/>
    </row>
    <row r="29" ht="15" customFormat="1" customHeight="1" s="25">
      <c r="B29" s="31">
        <f>B28+1</f>
        <v/>
      </c>
      <c r="C29" s="32" t="n">
        <v>45987</v>
      </c>
      <c r="D29" s="32" t="n">
        <v>45987</v>
      </c>
      <c r="E29" s="9">
        <f>IF(C29="","",MONTH(C29))</f>
        <v/>
      </c>
      <c r="F29" s="9">
        <f>IF(C29="","",YEAR(C29))</f>
        <v/>
      </c>
      <c r="G29" s="9" t="n">
        <v>2025</v>
      </c>
      <c r="H29" s="32" t="inlineStr">
        <is>
          <t xml:space="preserve">PAYE </t>
        </is>
      </c>
      <c r="I29" s="25" t="inlineStr">
        <is>
          <t>Capital Contribution</t>
        </is>
      </c>
      <c r="J29" s="25" t="inlineStr">
        <is>
          <t>Paiement Capital Contribution</t>
        </is>
      </c>
      <c r="K29" s="47" t="inlineStr">
        <is>
          <t>Bertozzi Stefano</t>
        </is>
      </c>
      <c r="L29" s="34" t="inlineStr">
        <is>
          <t>Bertozzi Stefano</t>
        </is>
      </c>
      <c r="M29" s="25" t="inlineStr">
        <is>
          <t>Green Enerbras One SCSp</t>
        </is>
      </c>
      <c r="N29" s="58" t="n"/>
      <c r="O29" s="196" t="n">
        <v>20000</v>
      </c>
      <c r="P29" s="196" t="n">
        <v>0</v>
      </c>
      <c r="Q29" s="196">
        <f>O29+P29</f>
        <v/>
      </c>
      <c r="R29" s="203">
        <f>R28+Q29</f>
        <v/>
      </c>
      <c r="U29" s="204" t="n"/>
    </row>
    <row r="30" ht="15" customFormat="1" customHeight="1" s="25">
      <c r="B30" s="31">
        <f>B29+1</f>
        <v/>
      </c>
      <c r="C30" s="32" t="n">
        <v>45987</v>
      </c>
      <c r="D30" s="32" t="n">
        <v>45987</v>
      </c>
      <c r="E30" s="9">
        <f>IF(C30="","",MONTH(C30))</f>
        <v/>
      </c>
      <c r="F30" s="9">
        <f>IF(C30="","",YEAR(C30))</f>
        <v/>
      </c>
      <c r="G30" s="9" t="n">
        <v>2025</v>
      </c>
      <c r="H30" s="32" t="inlineStr">
        <is>
          <t xml:space="preserve">PAYE </t>
        </is>
      </c>
      <c r="I30" s="25" t="inlineStr">
        <is>
          <t>Capital Contribution</t>
        </is>
      </c>
      <c r="J30" s="25" t="inlineStr">
        <is>
          <t>Paiement Capital Contribution</t>
        </is>
      </c>
      <c r="K30" s="47" t="inlineStr">
        <is>
          <t>De Miguel Bellvis Maria</t>
        </is>
      </c>
      <c r="L30" s="34" t="inlineStr">
        <is>
          <t>De Miguel Bellvis Maria</t>
        </is>
      </c>
      <c r="M30" s="25" t="inlineStr">
        <is>
          <t>Green Enerbras One SCSp</t>
        </is>
      </c>
      <c r="N30" s="58" t="n"/>
      <c r="O30" s="196" t="n">
        <v>20000</v>
      </c>
      <c r="P30" s="196" t="n">
        <v>0</v>
      </c>
      <c r="Q30" s="196">
        <f>O30+P30</f>
        <v/>
      </c>
      <c r="R30" s="203">
        <f>R29+Q30</f>
        <v/>
      </c>
      <c r="U30" s="204" t="n"/>
    </row>
    <row r="31" ht="15" customFormat="1" customHeight="1" s="25">
      <c r="B31" s="31">
        <f>B30+1</f>
        <v/>
      </c>
      <c r="C31" s="32" t="n">
        <v>45988</v>
      </c>
      <c r="D31" s="32" t="n">
        <v>45988</v>
      </c>
      <c r="E31" s="9">
        <f>IF(C31="","",MONTH(C31))</f>
        <v/>
      </c>
      <c r="F31" s="9">
        <f>IF(C31="","",YEAR(C31))</f>
        <v/>
      </c>
      <c r="G31" s="9" t="n">
        <v>2025</v>
      </c>
      <c r="H31" s="32" t="inlineStr">
        <is>
          <t xml:space="preserve">PAYE </t>
        </is>
      </c>
      <c r="I31" s="25" t="inlineStr">
        <is>
          <t>Capital Contribution</t>
        </is>
      </c>
      <c r="J31" s="25" t="inlineStr">
        <is>
          <t>Paiement Capital Contribution</t>
        </is>
      </c>
      <c r="K31" s="47" t="inlineStr">
        <is>
          <t>Desiderio Salvatore</t>
        </is>
      </c>
      <c r="L31" s="34" t="inlineStr">
        <is>
          <t>Desiderio Salvatore</t>
        </is>
      </c>
      <c r="M31" s="25" t="inlineStr">
        <is>
          <t>Green Enerbras One SCSp</t>
        </is>
      </c>
      <c r="N31" s="58" t="n"/>
      <c r="O31" s="196" t="n">
        <v>40000</v>
      </c>
      <c r="P31" s="196" t="n">
        <v>0</v>
      </c>
      <c r="Q31" s="196">
        <f>O31+P31</f>
        <v/>
      </c>
      <c r="R31" s="203">
        <f>R30+Q31</f>
        <v/>
      </c>
      <c r="U31" s="204" t="n"/>
    </row>
    <row r="32" ht="15" customFormat="1" customHeight="1" s="25">
      <c r="B32" s="31">
        <f>B31+1</f>
        <v/>
      </c>
      <c r="C32" s="32" t="n">
        <v>45993</v>
      </c>
      <c r="D32" s="32" t="n">
        <v>45993</v>
      </c>
      <c r="E32" s="9">
        <f>IF(C32="","",MONTH(C32))</f>
        <v/>
      </c>
      <c r="F32" s="9">
        <f>IF(C32="","",YEAR(C32))</f>
        <v/>
      </c>
      <c r="G32" s="9" t="n">
        <v>2025</v>
      </c>
      <c r="H32" s="32" t="inlineStr">
        <is>
          <t xml:space="preserve">PAYE </t>
        </is>
      </c>
      <c r="I32" s="25" t="inlineStr">
        <is>
          <t>Immobilisations</t>
        </is>
      </c>
      <c r="J32" s="25" t="inlineStr">
        <is>
          <t>Achat de participation</t>
        </is>
      </c>
      <c r="K32" s="25" t="inlineStr">
        <is>
          <t>Green Enerbras One SCSp</t>
        </is>
      </c>
      <c r="L32" s="34" t="n"/>
      <c r="M32" s="47" t="inlineStr">
        <is>
          <t>Tri Star Enerbras One SCP</t>
        </is>
      </c>
      <c r="N32" s="58" t="n"/>
      <c r="O32" s="196" t="n">
        <v>-50000</v>
      </c>
      <c r="P32" s="196" t="n">
        <v>0</v>
      </c>
      <c r="Q32" s="196">
        <f>O32+P32</f>
        <v/>
      </c>
      <c r="R32" s="203">
        <f>R31+Q32</f>
        <v/>
      </c>
      <c r="U32" s="204" t="n"/>
    </row>
    <row r="33" ht="15" customFormat="1" customHeight="1" s="25">
      <c r="B33" s="31">
        <f>B32+1</f>
        <v/>
      </c>
      <c r="C33" s="32" t="n">
        <v>45993</v>
      </c>
      <c r="D33" s="32" t="n">
        <v>45993</v>
      </c>
      <c r="E33" s="9">
        <f>IF(C33="","",MONTH(C33))</f>
        <v/>
      </c>
      <c r="F33" s="9">
        <f>IF(C33="","",YEAR(C33))</f>
        <v/>
      </c>
      <c r="G33" s="9" t="n">
        <v>2025</v>
      </c>
      <c r="H33" s="32" t="inlineStr">
        <is>
          <t xml:space="preserve">PAYE </t>
        </is>
      </c>
      <c r="I33" s="25" t="inlineStr">
        <is>
          <t>Frais bancaires</t>
        </is>
      </c>
      <c r="J33" s="25" t="inlineStr">
        <is>
          <t>Frais sur transfert</t>
        </is>
      </c>
      <c r="K33" s="25" t="inlineStr">
        <is>
          <t>Green Enerbras One SCSp</t>
        </is>
      </c>
      <c r="L33" s="34" t="n"/>
      <c r="M33" s="47" t="inlineStr">
        <is>
          <t>Banque de Luxembourg</t>
        </is>
      </c>
      <c r="N33" s="58" t="n"/>
      <c r="O33" s="196" t="n">
        <v>-5</v>
      </c>
      <c r="P33" s="196" t="n">
        <v>0</v>
      </c>
      <c r="Q33" s="196">
        <f>O33+P33</f>
        <v/>
      </c>
      <c r="R33" s="203">
        <f>R32+Q33</f>
        <v/>
      </c>
      <c r="U33" s="204" t="n"/>
    </row>
    <row r="34" ht="15" customFormat="1" customHeight="1" s="25">
      <c r="B34" s="31">
        <f>B33+1</f>
        <v/>
      </c>
      <c r="C34" s="32" t="n">
        <v>45993</v>
      </c>
      <c r="D34" s="32" t="n">
        <v>45993</v>
      </c>
      <c r="E34" s="9">
        <f>IF(C34="","",MONTH(C34))</f>
        <v/>
      </c>
      <c r="F34" s="9">
        <f>IF(C34="","",YEAR(C34))</f>
        <v/>
      </c>
      <c r="G34" s="9" t="n">
        <v>2025</v>
      </c>
      <c r="H34" s="32" t="inlineStr">
        <is>
          <t xml:space="preserve">PAYE </t>
        </is>
      </c>
      <c r="I34" s="25" t="inlineStr">
        <is>
          <t>Frais bancaires</t>
        </is>
      </c>
      <c r="J34" s="25" t="inlineStr">
        <is>
          <t>Frais sur transfert</t>
        </is>
      </c>
      <c r="K34" s="25" t="inlineStr">
        <is>
          <t>Green Enerbras One SCSp</t>
        </is>
      </c>
      <c r="L34" s="34" t="n"/>
      <c r="M34" s="47" t="inlineStr">
        <is>
          <t>Banque de Luxembourg</t>
        </is>
      </c>
      <c r="N34" s="58" t="n"/>
      <c r="O34" s="196" t="n">
        <v>-4</v>
      </c>
      <c r="P34" s="196" t="n">
        <v>0</v>
      </c>
      <c r="Q34" s="196">
        <f>O34+P34</f>
        <v/>
      </c>
      <c r="R34" s="203">
        <f>R33+Q34</f>
        <v/>
      </c>
      <c r="U34" s="204" t="n"/>
    </row>
    <row r="35" ht="15" customFormat="1" customHeight="1" s="25">
      <c r="B35" s="31">
        <f>B34+1</f>
        <v/>
      </c>
      <c r="C35" s="32" t="n">
        <v>45994</v>
      </c>
      <c r="D35" s="32" t="n">
        <v>45994</v>
      </c>
      <c r="E35" s="9">
        <f>IF(C35="","",MONTH(C35))</f>
        <v/>
      </c>
      <c r="F35" s="9">
        <f>IF(C35="","",YEAR(C35))</f>
        <v/>
      </c>
      <c r="G35" s="9" t="n">
        <v>2025</v>
      </c>
      <c r="H35" s="32" t="inlineStr">
        <is>
          <t xml:space="preserve">PAYE </t>
        </is>
      </c>
      <c r="I35" s="25" t="inlineStr">
        <is>
          <t>Capital Contribution</t>
        </is>
      </c>
      <c r="J35" s="25" t="inlineStr">
        <is>
          <t>Paiement Capital Contribution</t>
        </is>
      </c>
      <c r="K35" s="25" t="inlineStr">
        <is>
          <t>Tubia Enrico</t>
        </is>
      </c>
      <c r="L35" s="34" t="inlineStr">
        <is>
          <t>Tubia Enrico</t>
        </is>
      </c>
      <c r="M35" s="25" t="inlineStr">
        <is>
          <t>Green Enerbras One SCSp</t>
        </is>
      </c>
      <c r="N35" s="58" t="n"/>
      <c r="O35" s="196" t="n">
        <v>20000</v>
      </c>
      <c r="P35" s="196" t="n">
        <v>0</v>
      </c>
      <c r="Q35" s="196">
        <f>O35+P35</f>
        <v/>
      </c>
      <c r="R35" s="203">
        <f>R34+Q35</f>
        <v/>
      </c>
      <c r="U35" s="204" t="n"/>
    </row>
    <row r="36" ht="15" customFormat="1" customHeight="1" s="25">
      <c r="B36" s="31">
        <f>B35+1</f>
        <v/>
      </c>
      <c r="C36" s="32" t="n">
        <v>46000</v>
      </c>
      <c r="D36" s="32" t="n">
        <v>46000</v>
      </c>
      <c r="E36" s="9">
        <f>IF(C36="","",MONTH(C36))</f>
        <v/>
      </c>
      <c r="F36" s="9">
        <f>IF(C36="","",YEAR(C36))</f>
        <v/>
      </c>
      <c r="G36" s="9" t="n">
        <v>2025</v>
      </c>
      <c r="H36" s="32" t="inlineStr">
        <is>
          <t xml:space="preserve">PAYE </t>
        </is>
      </c>
      <c r="I36" s="25" t="inlineStr">
        <is>
          <t>Capital Contribution</t>
        </is>
      </c>
      <c r="J36" s="25" t="inlineStr">
        <is>
          <t>Paiement Capital Contribution</t>
        </is>
      </c>
      <c r="K36" s="25" t="inlineStr">
        <is>
          <t>Zaniboni Elisa</t>
        </is>
      </c>
      <c r="L36" s="34" t="inlineStr">
        <is>
          <t>Zaniboni Elisa</t>
        </is>
      </c>
      <c r="M36" s="25" t="inlineStr">
        <is>
          <t>Green Enerbras One SCSp</t>
        </is>
      </c>
      <c r="N36" s="58" t="n"/>
      <c r="O36" s="196" t="n">
        <v>20000</v>
      </c>
      <c r="P36" s="196" t="n">
        <v>0</v>
      </c>
      <c r="Q36" s="196">
        <f>O36+P36</f>
        <v/>
      </c>
      <c r="R36" s="203">
        <f>R35+Q36</f>
        <v/>
      </c>
      <c r="U36" s="204" t="n"/>
    </row>
    <row r="37" ht="15" customFormat="1" customHeight="1" s="25">
      <c r="B37" s="31">
        <f>B36+1</f>
        <v/>
      </c>
      <c r="C37" s="32" t="n">
        <v>46002</v>
      </c>
      <c r="D37" s="32" t="n">
        <v>46002</v>
      </c>
      <c r="E37" s="9">
        <f>IF(C37="","",MONTH(C37))</f>
        <v/>
      </c>
      <c r="F37" s="9">
        <f>IF(C37="","",YEAR(C37))</f>
        <v/>
      </c>
      <c r="G37" s="9" t="n">
        <v>2025</v>
      </c>
      <c r="H37" s="32" t="inlineStr">
        <is>
          <t xml:space="preserve">PAYE </t>
        </is>
      </c>
      <c r="I37" s="25" t="inlineStr">
        <is>
          <t>Capital Contribution</t>
        </is>
      </c>
      <c r="J37" s="25" t="inlineStr">
        <is>
          <t>Paiement Capital Contribution</t>
        </is>
      </c>
      <c r="K37" s="25" t="inlineStr">
        <is>
          <t>Zaniboni Greta</t>
        </is>
      </c>
      <c r="L37" s="34" t="inlineStr">
        <is>
          <t>Zaniboni Greta</t>
        </is>
      </c>
      <c r="M37" s="25" t="inlineStr">
        <is>
          <t>Green Enerbras One SCSp</t>
        </is>
      </c>
      <c r="N37" s="58" t="n"/>
      <c r="O37" s="196" t="n">
        <v>20000</v>
      </c>
      <c r="P37" s="196" t="n">
        <v>0</v>
      </c>
      <c r="Q37" s="196">
        <f>O37+P37</f>
        <v/>
      </c>
      <c r="R37" s="203">
        <f>R36+Q37</f>
        <v/>
      </c>
      <c r="U37" s="204" t="n"/>
    </row>
    <row r="38" ht="15" customFormat="1" customHeight="1" s="25">
      <c r="B38" s="31">
        <f>B37+1</f>
        <v/>
      </c>
      <c r="C38" s="32" t="n">
        <v>46006</v>
      </c>
      <c r="D38" s="32" t="n">
        <v>46006</v>
      </c>
      <c r="E38" s="9">
        <f>IF(C38="","",MONTH(C38))</f>
        <v/>
      </c>
      <c r="F38" s="9">
        <f>IF(C38="","",YEAR(C38))</f>
        <v/>
      </c>
      <c r="G38" s="9" t="n">
        <v>2025</v>
      </c>
      <c r="H38" s="32" t="inlineStr">
        <is>
          <t xml:space="preserve">PAYE </t>
        </is>
      </c>
      <c r="I38" s="25" t="inlineStr">
        <is>
          <t>Immobilisations</t>
        </is>
      </c>
      <c r="J38" s="25" t="inlineStr">
        <is>
          <t>Achat de participation</t>
        </is>
      </c>
      <c r="K38" s="25" t="inlineStr">
        <is>
          <t>Green Enerbras One SCSp</t>
        </is>
      </c>
      <c r="L38" s="34" t="n"/>
      <c r="M38" s="47" t="inlineStr">
        <is>
          <t>Tri Star Enerbras One SCP</t>
        </is>
      </c>
      <c r="N38" s="58" t="n"/>
      <c r="O38" s="196" t="n">
        <v>-50000</v>
      </c>
      <c r="P38" s="196" t="n">
        <v>0</v>
      </c>
      <c r="Q38" s="196">
        <f>O38+P38</f>
        <v/>
      </c>
      <c r="R38" s="203">
        <f>R37+Q38</f>
        <v/>
      </c>
      <c r="U38" s="204" t="n"/>
    </row>
    <row r="39" ht="15" customFormat="1" customHeight="1" s="25">
      <c r="B39" s="31">
        <f>B38+1</f>
        <v/>
      </c>
      <c r="C39" s="32" t="n">
        <v>46006</v>
      </c>
      <c r="D39" s="32" t="n">
        <v>46006</v>
      </c>
      <c r="E39" s="9">
        <f>IF(C39="","",MONTH(C39))</f>
        <v/>
      </c>
      <c r="F39" s="9">
        <f>IF(C39="","",YEAR(C39))</f>
        <v/>
      </c>
      <c r="G39" s="9" t="n">
        <v>2025</v>
      </c>
      <c r="H39" s="32" t="inlineStr">
        <is>
          <t xml:space="preserve">PAYE </t>
        </is>
      </c>
      <c r="I39" s="25" t="inlineStr">
        <is>
          <t>Frais bancaires</t>
        </is>
      </c>
      <c r="J39" s="25" t="inlineStr">
        <is>
          <t>Frais sur transfert</t>
        </is>
      </c>
      <c r="K39" s="25" t="inlineStr">
        <is>
          <t>Green Enerbras One SCSp</t>
        </is>
      </c>
      <c r="L39" s="34" t="n"/>
      <c r="M39" s="47" t="inlineStr">
        <is>
          <t>Banque de Luxembourg</t>
        </is>
      </c>
      <c r="N39" s="58" t="n"/>
      <c r="O39" s="196" t="n">
        <v>-5</v>
      </c>
      <c r="P39" s="196" t="n">
        <v>0</v>
      </c>
      <c r="Q39" s="196">
        <f>O39+P39</f>
        <v/>
      </c>
      <c r="R39" s="203">
        <f>R38+Q39</f>
        <v/>
      </c>
      <c r="U39" s="204" t="n"/>
    </row>
    <row r="40" ht="15" customFormat="1" customHeight="1" s="25">
      <c r="B40" s="148">
        <f>B39+1</f>
        <v/>
      </c>
      <c r="C40" s="149" t="n">
        <v>46006</v>
      </c>
      <c r="D40" s="149" t="n">
        <v>46006</v>
      </c>
      <c r="E40" s="122">
        <f>IF(C40="","",MONTH(C40))</f>
        <v/>
      </c>
      <c r="F40" s="122">
        <f>IF(C40="","",YEAR(C40))</f>
        <v/>
      </c>
      <c r="G40" s="122" t="n">
        <v>2025</v>
      </c>
      <c r="H40" s="149" t="inlineStr">
        <is>
          <t xml:space="preserve">PAYE </t>
        </is>
      </c>
      <c r="I40" s="150" t="inlineStr">
        <is>
          <t>Frais bancaires</t>
        </is>
      </c>
      <c r="J40" s="150" t="inlineStr">
        <is>
          <t>Frais sur transfert</t>
        </is>
      </c>
      <c r="K40" s="150" t="inlineStr">
        <is>
          <t>Green Enerbras One SCSp</t>
        </is>
      </c>
      <c r="L40" s="151" t="n"/>
      <c r="M40" s="152" t="inlineStr">
        <is>
          <t>Banque de Luxembourg</t>
        </is>
      </c>
      <c r="N40" s="153" t="n"/>
      <c r="O40" s="205" t="n">
        <v>-4</v>
      </c>
      <c r="P40" s="205" t="n">
        <v>0</v>
      </c>
      <c r="Q40" s="205">
        <f>O40+P40</f>
        <v/>
      </c>
      <c r="R40" s="206">
        <f>R39+Q40</f>
        <v/>
      </c>
      <c r="U40" s="204" t="n"/>
    </row>
    <row r="41" ht="15" customFormat="1" customHeight="1" s="25">
      <c r="B41" s="31">
        <f>B40+1</f>
        <v/>
      </c>
      <c r="C41" s="32" t="n">
        <v>46037</v>
      </c>
      <c r="D41" s="32" t="n">
        <v>46037</v>
      </c>
      <c r="E41" s="9">
        <f>IF(C41="","",MONTH(C41))</f>
        <v/>
      </c>
      <c r="F41" s="9">
        <f>IF(C41="","",YEAR(C41))</f>
        <v/>
      </c>
      <c r="G41" s="9" t="n">
        <v>2026</v>
      </c>
      <c r="H41" s="32" t="inlineStr">
        <is>
          <t xml:space="preserve">PAYE </t>
        </is>
      </c>
      <c r="I41" s="25" t="inlineStr">
        <is>
          <t>Frais bancaires</t>
        </is>
      </c>
      <c r="J41" s="25" t="inlineStr">
        <is>
          <t>Frais de tenue de compte</t>
        </is>
      </c>
      <c r="K41" s="25" t="inlineStr">
        <is>
          <t>Green Enerbras One SCSp</t>
        </is>
      </c>
      <c r="L41" s="34" t="n"/>
      <c r="M41" s="47" t="inlineStr">
        <is>
          <t>Banque de Luxembourg</t>
        </is>
      </c>
      <c r="N41" s="58" t="n"/>
      <c r="O41" s="196" t="n">
        <v>-250</v>
      </c>
      <c r="P41" s="196" t="n">
        <v>0</v>
      </c>
      <c r="Q41" s="196">
        <f>O41+P41</f>
        <v/>
      </c>
      <c r="R41" s="203">
        <f>R40+Q41</f>
        <v/>
      </c>
      <c r="U41" s="204" t="n"/>
    </row>
    <row r="42" ht="15" customFormat="1" customHeight="1" s="25">
      <c r="B42" s="31">
        <f>B41+1</f>
        <v/>
      </c>
      <c r="C42" s="32" t="n">
        <v>46048</v>
      </c>
      <c r="D42" s="32" t="n">
        <v>46048</v>
      </c>
      <c r="E42" s="9">
        <f>IF(C42="","",MONTH(C42))</f>
        <v/>
      </c>
      <c r="F42" s="9">
        <f>IF(C42="","",YEAR(C42))</f>
        <v/>
      </c>
      <c r="G42" s="9" t="n">
        <v>2026</v>
      </c>
      <c r="H42" s="32" t="inlineStr">
        <is>
          <t xml:space="preserve">PAYE </t>
        </is>
      </c>
      <c r="I42" s="25" t="inlineStr">
        <is>
          <t>Entry fee (2,00%)</t>
        </is>
      </c>
      <c r="J42" s="25" t="inlineStr">
        <is>
          <t>Entry fee sur L.P. Contribution verse</t>
        </is>
      </c>
      <c r="K42" s="207" t="n">
        <v>20000</v>
      </c>
      <c r="L42" s="34" t="inlineStr">
        <is>
          <t>Tubia Edoardo</t>
        </is>
      </c>
      <c r="M42" s="47" t="inlineStr">
        <is>
          <t>Green Enerbras One SCSp</t>
        </is>
      </c>
      <c r="N42" s="58" t="inlineStr">
        <is>
          <t>013/2026</t>
        </is>
      </c>
      <c r="O42" s="196" t="n">
        <v>-341.88</v>
      </c>
      <c r="P42" s="196" t="n">
        <v>-58.12</v>
      </c>
      <c r="Q42" s="196">
        <f>O42+P42</f>
        <v/>
      </c>
      <c r="R42" s="203">
        <f>R41+Q42</f>
        <v/>
      </c>
      <c r="U42" s="204" t="n"/>
    </row>
    <row r="43" ht="15" customFormat="1" customHeight="1" s="25">
      <c r="B43" s="31">
        <f>B42+1</f>
        <v/>
      </c>
      <c r="C43" s="32" t="n">
        <v>46048</v>
      </c>
      <c r="D43" s="32" t="n">
        <v>46048</v>
      </c>
      <c r="E43" s="9">
        <f>IF(C43="","",MONTH(C43))</f>
        <v/>
      </c>
      <c r="F43" s="9">
        <f>IF(C43="","",YEAR(C43))</f>
        <v/>
      </c>
      <c r="G43" s="9" t="n">
        <v>2026</v>
      </c>
      <c r="H43" s="32" t="inlineStr">
        <is>
          <t xml:space="preserve">PAYE </t>
        </is>
      </c>
      <c r="I43" s="25" t="inlineStr">
        <is>
          <t>Entry fee (2,00%)</t>
        </is>
      </c>
      <c r="J43" s="25" t="inlineStr">
        <is>
          <t>Entry fee sur L.P. Contribution verse</t>
        </is>
      </c>
      <c r="K43" s="207" t="n">
        <v>20000</v>
      </c>
      <c r="L43" s="34" t="inlineStr">
        <is>
          <t>Tubia Silvia</t>
        </is>
      </c>
      <c r="M43" s="47" t="inlineStr">
        <is>
          <t>Green Enerbras One SCSp</t>
        </is>
      </c>
      <c r="N43" s="58" t="inlineStr">
        <is>
          <t>013/2026</t>
        </is>
      </c>
      <c r="O43" s="196" t="n">
        <v>-341.88</v>
      </c>
      <c r="P43" s="196" t="n">
        <v>-58.12</v>
      </c>
      <c r="Q43" s="196">
        <f>O43+P43</f>
        <v/>
      </c>
      <c r="R43" s="203">
        <f>R42+Q43</f>
        <v/>
      </c>
      <c r="U43" s="204" t="n"/>
    </row>
    <row r="44" ht="15" customFormat="1" customHeight="1" s="25">
      <c r="B44" s="31">
        <f>B43+1</f>
        <v/>
      </c>
      <c r="C44" s="32" t="n">
        <v>46048</v>
      </c>
      <c r="D44" s="32" t="n">
        <v>46048</v>
      </c>
      <c r="E44" s="9">
        <f>IF(C44="","",MONTH(C44))</f>
        <v/>
      </c>
      <c r="F44" s="9">
        <f>IF(C44="","",YEAR(C44))</f>
        <v/>
      </c>
      <c r="G44" s="9" t="n">
        <v>2026</v>
      </c>
      <c r="H44" s="32" t="inlineStr">
        <is>
          <t xml:space="preserve">PAYE </t>
        </is>
      </c>
      <c r="I44" s="25" t="inlineStr">
        <is>
          <t>Entry fee (2,00%)</t>
        </is>
      </c>
      <c r="J44" s="25" t="inlineStr">
        <is>
          <t>Entry fee sur L.P. Contribution verse</t>
        </is>
      </c>
      <c r="K44" s="207" t="n">
        <v>20000</v>
      </c>
      <c r="L44" s="34" t="inlineStr">
        <is>
          <t>Tubia Edoardo</t>
        </is>
      </c>
      <c r="M44" s="47" t="inlineStr">
        <is>
          <t>Green Enerbras One SCSp</t>
        </is>
      </c>
      <c r="N44" s="58" t="inlineStr">
        <is>
          <t>013/2026</t>
        </is>
      </c>
      <c r="O44" s="196" t="n">
        <v>-341.88</v>
      </c>
      <c r="P44" s="196" t="n">
        <v>-58.12</v>
      </c>
      <c r="Q44" s="196">
        <f>O44+P44</f>
        <v/>
      </c>
      <c r="R44" s="203">
        <f>R43+Q44</f>
        <v/>
      </c>
      <c r="U44" s="204" t="n"/>
    </row>
    <row r="45" ht="15" customFormat="1" customHeight="1" s="25">
      <c r="B45" s="31">
        <f>B44+1</f>
        <v/>
      </c>
      <c r="C45" s="32" t="n">
        <v>46048</v>
      </c>
      <c r="D45" s="32" t="n">
        <v>46048</v>
      </c>
      <c r="E45" s="9">
        <f>IF(C45="","",MONTH(C45))</f>
        <v/>
      </c>
      <c r="F45" s="9">
        <f>IF(C45="","",YEAR(C45))</f>
        <v/>
      </c>
      <c r="G45" s="9" t="n">
        <v>2026</v>
      </c>
      <c r="H45" s="32" t="inlineStr">
        <is>
          <t xml:space="preserve">PAYE </t>
        </is>
      </c>
      <c r="I45" s="25" t="inlineStr">
        <is>
          <t>Entry fee (2,00%)</t>
        </is>
      </c>
      <c r="J45" s="25" t="inlineStr">
        <is>
          <t>Entry fee sur L.P. Contribution verse</t>
        </is>
      </c>
      <c r="K45" s="207" t="n">
        <v>20000</v>
      </c>
      <c r="L45" s="34" t="inlineStr">
        <is>
          <t>Bertozzi Stefano</t>
        </is>
      </c>
      <c r="M45" s="47" t="inlineStr">
        <is>
          <t>Green Enerbras One SCSp</t>
        </is>
      </c>
      <c r="N45" s="58" t="inlineStr">
        <is>
          <t>013/2026</t>
        </is>
      </c>
      <c r="O45" s="196" t="n">
        <v>-341.88</v>
      </c>
      <c r="P45" s="196" t="n">
        <v>-58.12</v>
      </c>
      <c r="Q45" s="196">
        <f>O45+P45</f>
        <v/>
      </c>
      <c r="R45" s="203">
        <f>R44+Q45</f>
        <v/>
      </c>
      <c r="U45" s="204" t="n"/>
    </row>
    <row r="46" ht="15" customFormat="1" customHeight="1" s="25">
      <c r="B46" s="31">
        <f>B45+1</f>
        <v/>
      </c>
      <c r="C46" s="32" t="n">
        <v>46048</v>
      </c>
      <c r="D46" s="32" t="n">
        <v>46048</v>
      </c>
      <c r="E46" s="9">
        <f>IF(C46="","",MONTH(C46))</f>
        <v/>
      </c>
      <c r="F46" s="9">
        <f>IF(C46="","",YEAR(C46))</f>
        <v/>
      </c>
      <c r="G46" s="9" t="n">
        <v>2026</v>
      </c>
      <c r="H46" s="32" t="inlineStr">
        <is>
          <t xml:space="preserve">PAYE </t>
        </is>
      </c>
      <c r="I46" s="25" t="inlineStr">
        <is>
          <t>Entry fee (2,00%)</t>
        </is>
      </c>
      <c r="J46" s="25" t="inlineStr">
        <is>
          <t>Entry fee sur L.P. Contribution verse</t>
        </is>
      </c>
      <c r="K46" s="207" t="n">
        <v>20000</v>
      </c>
      <c r="L46" s="34" t="inlineStr">
        <is>
          <t>De Miguel Bellvis Maria</t>
        </is>
      </c>
      <c r="M46" s="47" t="inlineStr">
        <is>
          <t>Green Enerbras One SCSp</t>
        </is>
      </c>
      <c r="N46" s="58" t="inlineStr">
        <is>
          <t>013/2026</t>
        </is>
      </c>
      <c r="O46" s="196" t="n">
        <v>-341.88</v>
      </c>
      <c r="P46" s="196" t="n">
        <v>-58.12</v>
      </c>
      <c r="Q46" s="196">
        <f>O46+P46</f>
        <v/>
      </c>
      <c r="R46" s="203">
        <f>R45+Q46</f>
        <v/>
      </c>
      <c r="U46" s="204" t="n"/>
    </row>
    <row r="47" ht="15" customFormat="1" customHeight="1" s="25">
      <c r="B47" s="31">
        <f>B46+1</f>
        <v/>
      </c>
      <c r="C47" s="32" t="n">
        <v>46048</v>
      </c>
      <c r="D47" s="32" t="n">
        <v>46048</v>
      </c>
      <c r="E47" s="9">
        <f>IF(C47="","",MONTH(C47))</f>
        <v/>
      </c>
      <c r="F47" s="9">
        <f>IF(C47="","",YEAR(C47))</f>
        <v/>
      </c>
      <c r="G47" s="9" t="n">
        <v>2026</v>
      </c>
      <c r="H47" s="32" t="inlineStr">
        <is>
          <t xml:space="preserve">PAYE </t>
        </is>
      </c>
      <c r="I47" s="25" t="inlineStr">
        <is>
          <t>Entry fee (2,00%)</t>
        </is>
      </c>
      <c r="J47" s="25" t="inlineStr">
        <is>
          <t>Entry fee sur L.P. Contribution verse</t>
        </is>
      </c>
      <c r="K47" s="207" t="n">
        <v>40000</v>
      </c>
      <c r="L47" s="34" t="inlineStr">
        <is>
          <t>Desiderio Salvatore</t>
        </is>
      </c>
      <c r="M47" s="47" t="inlineStr">
        <is>
          <t>Green Enerbras One SCSp</t>
        </is>
      </c>
      <c r="N47" s="58" t="inlineStr">
        <is>
          <t>013/2026</t>
        </is>
      </c>
      <c r="O47" s="196">
        <f>-341.88*2</f>
        <v/>
      </c>
      <c r="P47" s="196" t="n">
        <v>-116.24</v>
      </c>
      <c r="Q47" s="196">
        <f>O47+P47</f>
        <v/>
      </c>
      <c r="R47" s="203">
        <f>R46+Q47</f>
        <v/>
      </c>
      <c r="U47" s="204" t="n"/>
    </row>
    <row r="48" ht="15" customFormat="1" customHeight="1" s="25">
      <c r="B48" s="31">
        <f>B47+1</f>
        <v/>
      </c>
      <c r="C48" s="32" t="n">
        <v>46048</v>
      </c>
      <c r="D48" s="32" t="n">
        <v>46048</v>
      </c>
      <c r="E48" s="9">
        <f>IF(C48="","",MONTH(C48))</f>
        <v/>
      </c>
      <c r="F48" s="9">
        <f>IF(C48="","",YEAR(C48))</f>
        <v/>
      </c>
      <c r="G48" s="9" t="n">
        <v>2026</v>
      </c>
      <c r="H48" s="32" t="inlineStr">
        <is>
          <t xml:space="preserve">PAYE </t>
        </is>
      </c>
      <c r="I48" s="25" t="inlineStr">
        <is>
          <t>Entry fee (2,00%)</t>
        </is>
      </c>
      <c r="J48" s="25" t="inlineStr">
        <is>
          <t>Entry fee sur L.P. Contribution verse</t>
        </is>
      </c>
      <c r="K48" s="207" t="n">
        <v>20000</v>
      </c>
      <c r="L48" s="34" t="inlineStr">
        <is>
          <t>Tubia Enrico</t>
        </is>
      </c>
      <c r="M48" s="47" t="inlineStr">
        <is>
          <t>Green Enerbras One SCSp</t>
        </is>
      </c>
      <c r="N48" s="58" t="inlineStr">
        <is>
          <t>013/2026</t>
        </is>
      </c>
      <c r="O48" s="196" t="n">
        <v>-341.88</v>
      </c>
      <c r="P48" s="196" t="n">
        <v>-58.12</v>
      </c>
      <c r="Q48" s="196">
        <f>O48+P48</f>
        <v/>
      </c>
      <c r="R48" s="203">
        <f>R47+Q48</f>
        <v/>
      </c>
      <c r="U48" s="204" t="n"/>
    </row>
    <row r="49" ht="15" customFormat="1" customHeight="1" s="25">
      <c r="B49" s="31">
        <f>B48+1</f>
        <v/>
      </c>
      <c r="C49" s="32" t="n">
        <v>46048</v>
      </c>
      <c r="D49" s="32" t="n">
        <v>46048</v>
      </c>
      <c r="E49" s="9">
        <f>IF(C49="","",MONTH(C49))</f>
        <v/>
      </c>
      <c r="F49" s="9">
        <f>IF(C49="","",YEAR(C49))</f>
        <v/>
      </c>
      <c r="G49" s="9" t="n">
        <v>2026</v>
      </c>
      <c r="H49" s="32" t="inlineStr">
        <is>
          <t xml:space="preserve">PAYE </t>
        </is>
      </c>
      <c r="I49" s="25" t="inlineStr">
        <is>
          <t>Entry fee (2,00%)</t>
        </is>
      </c>
      <c r="J49" s="25" t="inlineStr">
        <is>
          <t>Entry fee sur L.P. Contribution verse</t>
        </is>
      </c>
      <c r="K49" s="207" t="n">
        <v>20000</v>
      </c>
      <c r="L49" s="34" t="inlineStr">
        <is>
          <t>Zaniboni Elisa</t>
        </is>
      </c>
      <c r="M49" s="47" t="inlineStr">
        <is>
          <t>Green Enerbras One SCSp</t>
        </is>
      </c>
      <c r="N49" s="58" t="inlineStr">
        <is>
          <t>013/2026</t>
        </is>
      </c>
      <c r="O49" s="196" t="n">
        <v>-341.88</v>
      </c>
      <c r="P49" s="196" t="n">
        <v>-58.12</v>
      </c>
      <c r="Q49" s="196">
        <f>O49+P49</f>
        <v/>
      </c>
      <c r="R49" s="203">
        <f>R48+Q49</f>
        <v/>
      </c>
      <c r="U49" s="204" t="n"/>
    </row>
    <row r="50" ht="15" customFormat="1" customHeight="1" s="25">
      <c r="B50" s="31">
        <f>B49+1</f>
        <v/>
      </c>
      <c r="C50" s="32" t="n">
        <v>46048</v>
      </c>
      <c r="D50" s="32" t="n">
        <v>46048</v>
      </c>
      <c r="E50" s="9">
        <f>IF(C50="","",MONTH(C50))</f>
        <v/>
      </c>
      <c r="F50" s="9">
        <f>IF(C50="","",YEAR(C50))</f>
        <v/>
      </c>
      <c r="G50" s="9" t="n">
        <v>2026</v>
      </c>
      <c r="H50" s="32" t="inlineStr">
        <is>
          <t xml:space="preserve">PAYE </t>
        </is>
      </c>
      <c r="I50" s="25" t="inlineStr">
        <is>
          <t>Entry fee (2,00%)</t>
        </is>
      </c>
      <c r="J50" s="25" t="inlineStr">
        <is>
          <t>Entry fee sur L.P. Contribution verse</t>
        </is>
      </c>
      <c r="K50" s="207" t="n">
        <v>20000</v>
      </c>
      <c r="L50" s="34" t="inlineStr">
        <is>
          <t>Zaniboni Greta</t>
        </is>
      </c>
      <c r="M50" s="47" t="inlineStr">
        <is>
          <t>Green Enerbras One SCSp</t>
        </is>
      </c>
      <c r="N50" s="58" t="inlineStr">
        <is>
          <t>013/2026</t>
        </is>
      </c>
      <c r="O50" s="196" t="n">
        <v>-341.88</v>
      </c>
      <c r="P50" s="196" t="n">
        <v>-58.12</v>
      </c>
      <c r="Q50" s="196">
        <f>O50+P50</f>
        <v/>
      </c>
      <c r="R50" s="203">
        <f>R49+Q50</f>
        <v/>
      </c>
      <c r="U50" s="204" t="n"/>
    </row>
    <row r="51" ht="15" customFormat="1" customHeight="1" s="25">
      <c r="B51" s="31">
        <f>B50+1</f>
        <v/>
      </c>
      <c r="C51" s="32" t="n">
        <v>46048</v>
      </c>
      <c r="D51" s="32" t="n">
        <v>46048</v>
      </c>
      <c r="E51" s="9">
        <f>IF(C51="","",MONTH(C51))</f>
        <v/>
      </c>
      <c r="F51" s="9">
        <f>IF(C51="","",YEAR(C51))</f>
        <v/>
      </c>
      <c r="G51" s="9" t="n">
        <v>2026</v>
      </c>
      <c r="H51" s="32" t="inlineStr">
        <is>
          <t xml:space="preserve">PAYE </t>
        </is>
      </c>
      <c r="I51" s="25" t="inlineStr">
        <is>
          <t>Entry fee (2,00%)</t>
        </is>
      </c>
      <c r="J51" s="25" t="inlineStr">
        <is>
          <t>Total Entry fees sur L.P. Contributions verses</t>
        </is>
      </c>
      <c r="K51" s="207">
        <f>-SUM(K42:K50)</f>
        <v/>
      </c>
      <c r="L51" s="34" t="inlineStr">
        <is>
          <t>New Life Sarl</t>
        </is>
      </c>
      <c r="M51" s="47" t="inlineStr">
        <is>
          <t>Green Enerbras One SCSp</t>
        </is>
      </c>
      <c r="N51" s="58" t="inlineStr">
        <is>
          <t>013/2026</t>
        </is>
      </c>
      <c r="O51" s="196">
        <f>-SUM(O42:O50)</f>
        <v/>
      </c>
      <c r="P51" s="196" t="n">
        <v>581.2</v>
      </c>
      <c r="Q51" s="196">
        <f>O51+P51</f>
        <v/>
      </c>
      <c r="R51" s="203">
        <f>R50+Q51</f>
        <v/>
      </c>
      <c r="U51" s="204" t="n"/>
    </row>
    <row r="52" ht="15" customFormat="1" customHeight="1" s="25">
      <c r="B52" s="31">
        <f>B51+1</f>
        <v/>
      </c>
      <c r="C52" s="32" t="n">
        <v>46048</v>
      </c>
      <c r="D52" s="32" t="n">
        <v>46048</v>
      </c>
      <c r="E52" s="9">
        <f>IF(C52="","",MONTH(C52))</f>
        <v/>
      </c>
      <c r="F52" s="9">
        <f>IF(C52="","",YEAR(C52))</f>
        <v/>
      </c>
      <c r="G52" s="9" t="n">
        <v>2026</v>
      </c>
      <c r="H52" s="32" t="inlineStr">
        <is>
          <t xml:space="preserve">PAYE </t>
        </is>
      </c>
      <c r="I52" s="25" t="inlineStr">
        <is>
          <t>Entry fee (2,00%)</t>
        </is>
      </c>
      <c r="J52" s="25" t="inlineStr">
        <is>
          <t>Paiement de GEO SCSp au G.P. New Life Sarl des Entry Fees</t>
        </is>
      </c>
      <c r="K52" s="207">
        <f>-K51</f>
        <v/>
      </c>
      <c r="L52" s="34" t="inlineStr">
        <is>
          <t>Green Enerbras One SCSp</t>
        </is>
      </c>
      <c r="M52" s="47" t="inlineStr">
        <is>
          <t>NEW LIFE Sarl</t>
        </is>
      </c>
      <c r="N52" s="58" t="inlineStr">
        <is>
          <t>013/2026</t>
        </is>
      </c>
      <c r="O52" s="196">
        <f>-O51</f>
        <v/>
      </c>
      <c r="P52" s="196" t="n">
        <v>-581.2</v>
      </c>
      <c r="Q52" s="196">
        <f>O52+P52</f>
        <v/>
      </c>
      <c r="R52" s="203">
        <f>R51+Q52</f>
        <v/>
      </c>
      <c r="U52" s="204" t="n"/>
    </row>
    <row r="53" ht="15" customFormat="1" customHeight="1" s="25">
      <c r="B53" s="31">
        <f>B52+1</f>
        <v/>
      </c>
      <c r="C53" s="32" t="n">
        <v>46129</v>
      </c>
      <c r="D53" s="32" t="n">
        <v>46129</v>
      </c>
      <c r="E53" s="9">
        <f>IF(C53="","",MONTH(C53))</f>
        <v/>
      </c>
      <c r="F53" s="9">
        <f>IF(C53="","",YEAR(C53))</f>
        <v/>
      </c>
      <c r="G53" s="9" t="n">
        <v>2026</v>
      </c>
      <c r="H53" s="32" t="inlineStr">
        <is>
          <t xml:space="preserve">PAYE </t>
        </is>
      </c>
      <c r="I53" s="25" t="inlineStr">
        <is>
          <t>Frais bancaires</t>
        </is>
      </c>
      <c r="J53" s="25" t="inlineStr">
        <is>
          <t>Frais de tenue de compte</t>
        </is>
      </c>
      <c r="K53" s="25" t="inlineStr">
        <is>
          <t>Green Enerbras One SCSp</t>
        </is>
      </c>
      <c r="L53" s="34" t="n"/>
      <c r="M53" s="47" t="inlineStr">
        <is>
          <t>Banque de Luxembourg</t>
        </is>
      </c>
      <c r="N53" s="58" t="n"/>
      <c r="O53" s="196" t="n">
        <v>-250</v>
      </c>
      <c r="P53" s="196" t="n">
        <v>0</v>
      </c>
      <c r="Q53" s="196">
        <f>O53+P53</f>
        <v/>
      </c>
      <c r="R53" s="203">
        <f>R52+Q53</f>
        <v/>
      </c>
      <c r="U53" s="204" t="n"/>
    </row>
    <row r="54" ht="15" customFormat="1" customHeight="1" s="25">
      <c r="B54" s="31">
        <f>B53+1</f>
        <v/>
      </c>
      <c r="C54" s="32" t="n">
        <v>46139</v>
      </c>
      <c r="D54" s="32" t="n">
        <v>46139</v>
      </c>
      <c r="E54" s="9">
        <f>IF(C54="","",MONTH(C54))</f>
        <v/>
      </c>
      <c r="F54" s="9">
        <f>IF(C54="","",YEAR(C54))</f>
        <v/>
      </c>
      <c r="G54" s="9" t="n">
        <v>2025</v>
      </c>
      <c r="H54" s="32" t="inlineStr">
        <is>
          <t xml:space="preserve">PAYE </t>
        </is>
      </c>
      <c r="I54" s="25" t="inlineStr">
        <is>
          <t>Frais Administratives</t>
        </is>
      </c>
      <c r="J54" s="25" t="inlineStr">
        <is>
          <t>Inscription au RBE des Beneficiaires effectifs</t>
        </is>
      </c>
      <c r="K54" s="25" t="inlineStr">
        <is>
          <t>Green Enerbras One SCSp</t>
        </is>
      </c>
      <c r="L54" s="34" t="n"/>
      <c r="M54" s="47" t="inlineStr">
        <is>
          <t>RCS Luxembourg</t>
        </is>
      </c>
      <c r="N54" s="58" t="inlineStr">
        <is>
          <t>009/2026</t>
        </is>
      </c>
      <c r="O54" s="196" t="n">
        <v>-15</v>
      </c>
      <c r="P54" s="196">
        <f>O54*$P$5</f>
        <v/>
      </c>
      <c r="Q54" s="196">
        <f>O54+P54</f>
        <v/>
      </c>
      <c r="R54" s="203">
        <f>R53+Q54</f>
        <v/>
      </c>
      <c r="U54" s="204" t="n"/>
    </row>
    <row r="55" ht="15" customFormat="1" customHeight="1" s="25">
      <c r="B55" s="31">
        <f>B54+1</f>
        <v/>
      </c>
      <c r="C55" s="32" t="n">
        <v>46139</v>
      </c>
      <c r="D55" s="32" t="n">
        <v>46139</v>
      </c>
      <c r="E55" s="9">
        <f>IF(C55="","",MONTH(C55))</f>
        <v/>
      </c>
      <c r="F55" s="9">
        <f>IF(C55="","",YEAR(C55))</f>
        <v/>
      </c>
      <c r="G55" s="9" t="n">
        <v>2025</v>
      </c>
      <c r="H55" s="32" t="inlineStr">
        <is>
          <t xml:space="preserve">PAYE </t>
        </is>
      </c>
      <c r="I55" s="25" t="inlineStr">
        <is>
          <t>Frais Administratives</t>
        </is>
      </c>
      <c r="J55" s="25" t="inlineStr">
        <is>
          <t>Total frais avances</t>
        </is>
      </c>
      <c r="K55" s="25" t="inlineStr">
        <is>
          <t>Tubia Edoardo</t>
        </is>
      </c>
      <c r="L55" s="34" t="n"/>
      <c r="M55" s="47" t="inlineStr">
        <is>
          <t>Green Enerbras One SCSp</t>
        </is>
      </c>
      <c r="N55" s="58" t="n"/>
      <c r="O55" s="196" t="n">
        <v>15</v>
      </c>
      <c r="P55" s="196" t="n">
        <v>2.55</v>
      </c>
      <c r="Q55" s="196" t="n">
        <v>17.55</v>
      </c>
      <c r="R55" s="203">
        <f>R54+Q55</f>
        <v/>
      </c>
      <c r="U55" s="204" t="n"/>
    </row>
    <row r="56" ht="15" customFormat="1" customHeight="1" s="25">
      <c r="B56" s="31">
        <f>B55+1</f>
        <v/>
      </c>
      <c r="C56" s="32" t="n">
        <v>46139</v>
      </c>
      <c r="D56" s="32" t="n">
        <v>46139</v>
      </c>
      <c r="E56" s="9">
        <f>IF(C56="","",MONTH(C56))</f>
        <v/>
      </c>
      <c r="F56" s="9">
        <f>IF(C56="","",YEAR(C56))</f>
        <v/>
      </c>
      <c r="G56" s="9" t="n">
        <v>2025</v>
      </c>
      <c r="H56" s="32" t="inlineStr">
        <is>
          <t xml:space="preserve">PAYE </t>
        </is>
      </c>
      <c r="I56" s="25" t="inlineStr">
        <is>
          <t>Frais Administratives</t>
        </is>
      </c>
      <c r="J56" s="25" t="inlineStr">
        <is>
          <t>Remboursement des frais</t>
        </is>
      </c>
      <c r="K56" s="25" t="inlineStr">
        <is>
          <t>Green Enerbras One SCSp</t>
        </is>
      </c>
      <c r="L56" s="34" t="n"/>
      <c r="M56" s="47" t="inlineStr">
        <is>
          <t>Tubia Edoardo</t>
        </is>
      </c>
      <c r="N56" s="58" t="n"/>
      <c r="O56" s="196">
        <f>-O55</f>
        <v/>
      </c>
      <c r="P56" s="196">
        <f>-P55</f>
        <v/>
      </c>
      <c r="Q56" s="196">
        <f>-Q55</f>
        <v/>
      </c>
      <c r="R56" s="203">
        <f>R55+Q56</f>
        <v/>
      </c>
      <c r="U56" s="204" t="n"/>
    </row>
    <row r="57" ht="15" customFormat="1" customHeight="1" s="25">
      <c r="B57" s="31">
        <f>B56+1</f>
        <v/>
      </c>
      <c r="C57" s="32" t="n">
        <v>46149</v>
      </c>
      <c r="D57" s="32" t="n">
        <v>46149</v>
      </c>
      <c r="E57" s="9">
        <f>IF(C57="","",MONTH(C57))</f>
        <v/>
      </c>
      <c r="F57" s="9">
        <f>IF(C57="","",YEAR(C57))</f>
        <v/>
      </c>
      <c r="G57" s="9" t="n">
        <v>2026</v>
      </c>
      <c r="H57" s="32" t="inlineStr">
        <is>
          <t xml:space="preserve">PAYE </t>
        </is>
      </c>
      <c r="I57" s="25" t="inlineStr">
        <is>
          <t>Immobilisations</t>
        </is>
      </c>
      <c r="J57" s="25" t="inlineStr">
        <is>
          <t>Achat de participation</t>
        </is>
      </c>
      <c r="K57" s="25" t="inlineStr">
        <is>
          <t>Green Enerbras One SCSp</t>
        </is>
      </c>
      <c r="L57" s="34" t="n"/>
      <c r="M57" s="47" t="inlineStr">
        <is>
          <t>Tri Star Enerbras One SCP</t>
        </is>
      </c>
      <c r="N57" s="58" t="n"/>
      <c r="O57" s="196" t="n">
        <v>-40000</v>
      </c>
      <c r="P57" s="196" t="n">
        <v>0</v>
      </c>
      <c r="Q57" s="196">
        <f>O57+P57</f>
        <v/>
      </c>
      <c r="R57" s="203">
        <f>R56+Q57</f>
        <v/>
      </c>
      <c r="U57" s="204" t="n"/>
    </row>
    <row r="58" ht="15" customFormat="1" customHeight="1" s="25">
      <c r="B58" s="31">
        <f>B57+1</f>
        <v/>
      </c>
      <c r="C58" s="32" t="n">
        <v>46149</v>
      </c>
      <c r="D58" s="32" t="n">
        <v>46149</v>
      </c>
      <c r="E58" s="9">
        <f>IF(C58="","",MONTH(C58))</f>
        <v/>
      </c>
      <c r="F58" s="9">
        <f>IF(C58="","",YEAR(C58))</f>
        <v/>
      </c>
      <c r="G58" s="9" t="n">
        <v>2026</v>
      </c>
      <c r="H58" s="32" t="inlineStr">
        <is>
          <t xml:space="preserve">PAYE </t>
        </is>
      </c>
      <c r="I58" s="25" t="inlineStr">
        <is>
          <t>Frais bancaires</t>
        </is>
      </c>
      <c r="J58" s="25" t="inlineStr">
        <is>
          <t>Frais sur transfert</t>
        </is>
      </c>
      <c r="K58" s="25" t="inlineStr">
        <is>
          <t>Green Enerbras One SCSp</t>
        </is>
      </c>
      <c r="L58" s="34" t="n"/>
      <c r="M58" s="47" t="inlineStr">
        <is>
          <t>Banque de Luxembourg</t>
        </is>
      </c>
      <c r="N58" s="58" t="n"/>
      <c r="O58" s="196" t="n">
        <v>-5</v>
      </c>
      <c r="P58" s="196" t="n">
        <v>0</v>
      </c>
      <c r="Q58" s="196">
        <f>O58+P58</f>
        <v/>
      </c>
      <c r="R58" s="203">
        <f>R57+Q58</f>
        <v/>
      </c>
      <c r="U58" s="204" t="n"/>
    </row>
    <row r="59" ht="15" customFormat="1" customHeight="1" s="25">
      <c r="B59" s="31">
        <f>B58+1</f>
        <v/>
      </c>
      <c r="C59" s="32" t="n">
        <v>46149</v>
      </c>
      <c r="D59" s="32" t="n">
        <v>46149</v>
      </c>
      <c r="E59" s="9">
        <f>IF(C59="","",MONTH(C59))</f>
        <v/>
      </c>
      <c r="F59" s="9">
        <f>IF(C59="","",YEAR(C59))</f>
        <v/>
      </c>
      <c r="G59" s="9" t="n">
        <v>2026</v>
      </c>
      <c r="H59" s="32" t="inlineStr">
        <is>
          <t xml:space="preserve">PAYE </t>
        </is>
      </c>
      <c r="I59" s="25" t="inlineStr">
        <is>
          <t>Frais bancaires</t>
        </is>
      </c>
      <c r="J59" s="25" t="inlineStr">
        <is>
          <t>Frais sur transfert</t>
        </is>
      </c>
      <c r="K59" s="25" t="inlineStr">
        <is>
          <t>Green Enerbras One SCSp</t>
        </is>
      </c>
      <c r="L59" s="34" t="n"/>
      <c r="M59" s="47" t="inlineStr">
        <is>
          <t>Banque de Luxembourg</t>
        </is>
      </c>
      <c r="N59" s="58" t="n"/>
      <c r="O59" s="196" t="n">
        <v>-4</v>
      </c>
      <c r="P59" s="196" t="n">
        <v>0</v>
      </c>
      <c r="Q59" s="196">
        <f>O59+P59</f>
        <v/>
      </c>
      <c r="R59" s="203">
        <f>R58+Q59</f>
        <v/>
      </c>
      <c r="U59" s="204" t="n"/>
    </row>
    <row r="60" ht="15" customFormat="1" customHeight="1" s="25">
      <c r="B60" s="31">
        <f>B59+1</f>
        <v/>
      </c>
      <c r="C60" s="32" t="n">
        <v>46220</v>
      </c>
      <c r="D60" s="32" t="n">
        <v>46220</v>
      </c>
      <c r="E60" s="9">
        <f>IF(C60="","",MONTH(C60))</f>
        <v/>
      </c>
      <c r="F60" s="9">
        <f>IF(C60="","",YEAR(C60))</f>
        <v/>
      </c>
      <c r="G60" s="9" t="n">
        <v>2026</v>
      </c>
      <c r="H60" s="32" t="inlineStr">
        <is>
          <t xml:space="preserve">PAYE </t>
        </is>
      </c>
      <c r="I60" s="25" t="inlineStr">
        <is>
          <t>Capital Contribution</t>
        </is>
      </c>
      <c r="J60" s="25" t="inlineStr">
        <is>
          <t>Paiement Capital Contribution</t>
        </is>
      </c>
      <c r="K60" s="25" t="inlineStr">
        <is>
          <t>Sterzi Marco</t>
        </is>
      </c>
      <c r="L60" s="34" t="inlineStr">
        <is>
          <t>Sterzi Marco</t>
        </is>
      </c>
      <c r="M60" s="25" t="inlineStr">
        <is>
          <t>Green Enerbras One SCSp</t>
        </is>
      </c>
      <c r="N60" s="58" t="n"/>
      <c r="O60" s="196" t="n">
        <v>40000</v>
      </c>
      <c r="P60" s="196" t="n">
        <v>0</v>
      </c>
      <c r="Q60" s="196">
        <f>O60+P60</f>
        <v/>
      </c>
      <c r="R60" s="203">
        <f>R59+Q60</f>
        <v/>
      </c>
      <c r="U60" s="204" t="n"/>
    </row>
    <row r="61" ht="15" customFormat="1" customHeight="1" s="25">
      <c r="B61" s="31">
        <f>B60+1</f>
        <v/>
      </c>
      <c r="C61" s="32" t="n">
        <v>46220</v>
      </c>
      <c r="D61" s="32" t="n">
        <v>46220</v>
      </c>
      <c r="E61" s="9">
        <f>IF(C61="","",MONTH(C61))</f>
        <v/>
      </c>
      <c r="F61" s="9">
        <f>IF(C61="","",YEAR(C61))</f>
        <v/>
      </c>
      <c r="G61" s="9" t="n">
        <v>2026</v>
      </c>
      <c r="H61" s="32" t="inlineStr">
        <is>
          <t xml:space="preserve">PAYE </t>
        </is>
      </c>
      <c r="I61" s="25" t="inlineStr">
        <is>
          <t>Capital Contribution</t>
        </is>
      </c>
      <c r="J61" s="25" t="inlineStr">
        <is>
          <t>Paiement Capital Contribution</t>
        </is>
      </c>
      <c r="K61" s="25" t="inlineStr">
        <is>
          <t>Miletti Giovanni</t>
        </is>
      </c>
      <c r="L61" s="34" t="inlineStr">
        <is>
          <t>Miletti Giovanni</t>
        </is>
      </c>
      <c r="M61" s="25" t="inlineStr">
        <is>
          <t>Green Enerbras One SCSp</t>
        </is>
      </c>
      <c r="N61" s="58" t="n"/>
      <c r="O61" s="196" t="n">
        <v>20000</v>
      </c>
      <c r="P61" s="196" t="n">
        <v>0</v>
      </c>
      <c r="Q61" s="196">
        <f>O61+P61</f>
        <v/>
      </c>
      <c r="R61" s="203">
        <f>R60+Q61</f>
        <v/>
      </c>
      <c r="U61" s="204" t="n"/>
    </row>
    <row r="62" ht="15" customFormat="1" customHeight="1" s="25">
      <c r="B62" s="31">
        <f>B61+1</f>
        <v/>
      </c>
      <c r="C62" s="32" t="n">
        <v>46220</v>
      </c>
      <c r="D62" s="32" t="n">
        <v>46220</v>
      </c>
      <c r="E62" s="9">
        <f>IF(C62="","",MONTH(C62))</f>
        <v/>
      </c>
      <c r="F62" s="9">
        <f>IF(C62="","",YEAR(C62))</f>
        <v/>
      </c>
      <c r="G62" s="9" t="n">
        <v>2026</v>
      </c>
      <c r="H62" s="32" t="inlineStr">
        <is>
          <t xml:space="preserve">PAYE </t>
        </is>
      </c>
      <c r="I62" s="25" t="inlineStr">
        <is>
          <t>Entry fee (2,00%)</t>
        </is>
      </c>
      <c r="J62" s="25" t="inlineStr">
        <is>
          <t>Entry fee sur L.P. Contribution verse</t>
        </is>
      </c>
      <c r="K62" s="207" t="n">
        <v>40000</v>
      </c>
      <c r="L62" s="34" t="inlineStr">
        <is>
          <t>Sterzi Marco</t>
        </is>
      </c>
      <c r="M62" s="47" t="inlineStr">
        <is>
          <t>Green Enerbras One SCSp</t>
        </is>
      </c>
      <c r="N62" s="58" t="inlineStr">
        <is>
          <t>014/2026</t>
        </is>
      </c>
      <c r="O62" s="196" t="n">
        <v>-683.76</v>
      </c>
      <c r="P62" s="196" t="n">
        <v>-116.24</v>
      </c>
      <c r="Q62" s="196">
        <f>O62+P62</f>
        <v/>
      </c>
      <c r="R62" s="203">
        <f>R61+Q62</f>
        <v/>
      </c>
      <c r="U62" s="204" t="n"/>
    </row>
    <row r="63" ht="15" customFormat="1" customHeight="1" s="25">
      <c r="B63" s="31">
        <f>B62+1</f>
        <v/>
      </c>
      <c r="C63" s="32" t="n">
        <v>46220</v>
      </c>
      <c r="D63" s="32" t="n">
        <v>46220</v>
      </c>
      <c r="E63" s="9">
        <f>IF(C63="","",MONTH(C63))</f>
        <v/>
      </c>
      <c r="F63" s="9">
        <f>IF(C63="","",YEAR(C63))</f>
        <v/>
      </c>
      <c r="G63" s="9" t="n">
        <v>2026</v>
      </c>
      <c r="H63" s="32" t="inlineStr">
        <is>
          <t xml:space="preserve">PAYE </t>
        </is>
      </c>
      <c r="I63" s="25" t="inlineStr">
        <is>
          <t>Entry fee (2,00%)</t>
        </is>
      </c>
      <c r="J63" s="25" t="inlineStr">
        <is>
          <t>Entry fee sur L.P. Contribution verse</t>
        </is>
      </c>
      <c r="K63" s="207" t="n">
        <v>20000</v>
      </c>
      <c r="L63" s="34" t="inlineStr">
        <is>
          <t>Miletti Giovanni</t>
        </is>
      </c>
      <c r="M63" s="47" t="inlineStr">
        <is>
          <t>Green Enerbras One SCSp</t>
        </is>
      </c>
      <c r="N63" s="58" t="inlineStr">
        <is>
          <t>014/2026</t>
        </is>
      </c>
      <c r="O63" s="196" t="n">
        <v>-341.88</v>
      </c>
      <c r="P63" s="196" t="n">
        <v>-58.12</v>
      </c>
      <c r="Q63" s="196">
        <f>O63+P63</f>
        <v/>
      </c>
      <c r="R63" s="203">
        <f>R62+Q63</f>
        <v/>
      </c>
      <c r="U63" s="204" t="n"/>
    </row>
    <row r="64" ht="15" customFormat="1" customHeight="1" s="25">
      <c r="B64" s="31">
        <f>B63+1</f>
        <v/>
      </c>
      <c r="C64" s="32" t="n">
        <v>46220</v>
      </c>
      <c r="D64" s="32" t="n">
        <v>46220</v>
      </c>
      <c r="E64" s="9">
        <f>IF(C64="","",MONTH(C64))</f>
        <v/>
      </c>
      <c r="F64" s="9">
        <f>IF(C64="","",YEAR(C64))</f>
        <v/>
      </c>
      <c r="G64" s="9" t="n">
        <v>2026</v>
      </c>
      <c r="H64" s="32" t="inlineStr">
        <is>
          <t xml:space="preserve">PAYE </t>
        </is>
      </c>
      <c r="I64" s="25" t="inlineStr">
        <is>
          <t>Entry fee (2,00%)</t>
        </is>
      </c>
      <c r="J64" s="25" t="inlineStr">
        <is>
          <t>Total Entry fees sur L.P. Contributions verses</t>
        </is>
      </c>
      <c r="K64" s="207">
        <f>-SUM(K78:K84)</f>
        <v/>
      </c>
      <c r="L64" s="34" t="inlineStr">
        <is>
          <t>New Life Sarl</t>
        </is>
      </c>
      <c r="M64" s="47" t="inlineStr">
        <is>
          <t>Green Enerbras One SCSp</t>
        </is>
      </c>
      <c r="N64" s="58" t="inlineStr">
        <is>
          <t>014/2026</t>
        </is>
      </c>
      <c r="O64" s="196">
        <f>-O62-O63</f>
        <v/>
      </c>
      <c r="P64" s="196" t="n">
        <v>174.36</v>
      </c>
      <c r="Q64" s="196">
        <f>O64+P64</f>
        <v/>
      </c>
      <c r="R64" s="203">
        <f>R63+Q64</f>
        <v/>
      </c>
      <c r="U64" s="204" t="n"/>
    </row>
    <row r="65" ht="15" customFormat="1" customHeight="1" s="25">
      <c r="B65" s="31">
        <f>B64+1</f>
        <v/>
      </c>
      <c r="C65" s="32" t="n">
        <v>46220</v>
      </c>
      <c r="D65" s="32" t="n">
        <v>46220</v>
      </c>
      <c r="E65" s="9">
        <f>IF(C65="","",MONTH(C65))</f>
        <v/>
      </c>
      <c r="F65" s="9">
        <f>IF(C65="","",YEAR(C65))</f>
        <v/>
      </c>
      <c r="G65" s="9" t="n">
        <v>2026</v>
      </c>
      <c r="H65" s="32" t="inlineStr">
        <is>
          <t xml:space="preserve">PAYE </t>
        </is>
      </c>
      <c r="I65" s="25" t="inlineStr">
        <is>
          <t>Entry fee (2,00%)</t>
        </is>
      </c>
      <c r="J65" s="25" t="inlineStr">
        <is>
          <t>Paiement de GEO SCSp au G.P. New Life Sarl des Entry Fees</t>
        </is>
      </c>
      <c r="K65" s="207">
        <f>-K64</f>
        <v/>
      </c>
      <c r="L65" s="34" t="inlineStr">
        <is>
          <t>Green Enerbras One SCSp</t>
        </is>
      </c>
      <c r="M65" s="47" t="inlineStr">
        <is>
          <t>NEW LIFE Sarl</t>
        </is>
      </c>
      <c r="N65" s="58" t="inlineStr">
        <is>
          <t>014/2026</t>
        </is>
      </c>
      <c r="O65" s="196">
        <f>-O64</f>
        <v/>
      </c>
      <c r="P65" s="196" t="n">
        <v>-174.36</v>
      </c>
      <c r="Q65" s="196">
        <f>O65+P65</f>
        <v/>
      </c>
      <c r="R65" s="203">
        <f>R64+Q65</f>
        <v/>
      </c>
      <c r="U65" s="204" t="n"/>
    </row>
    <row r="66" ht="15" customFormat="1" customHeight="1" s="25">
      <c r="B66" s="31">
        <f>B65+1</f>
        <v/>
      </c>
      <c r="C66" s="32" t="n">
        <v>46224</v>
      </c>
      <c r="D66" s="32" t="n">
        <v>46224</v>
      </c>
      <c r="E66" s="9">
        <f>IF(C66="","",MONTH(C66))</f>
        <v/>
      </c>
      <c r="F66" s="9">
        <f>IF(C66="","",YEAR(C66))</f>
        <v/>
      </c>
      <c r="G66" s="9" t="n">
        <v>2026</v>
      </c>
      <c r="H66" s="32" t="inlineStr">
        <is>
          <t xml:space="preserve">PAYE </t>
        </is>
      </c>
      <c r="I66" s="25" t="inlineStr">
        <is>
          <t>Frais bancaires</t>
        </is>
      </c>
      <c r="J66" s="25" t="inlineStr">
        <is>
          <t>Frais de tenue de compte</t>
        </is>
      </c>
      <c r="K66" s="25" t="inlineStr">
        <is>
          <t>Green Enerbras One SCSp</t>
        </is>
      </c>
      <c r="L66" s="34" t="n"/>
      <c r="M66" s="47" t="inlineStr">
        <is>
          <t>Banque de Luxembourg</t>
        </is>
      </c>
      <c r="N66" s="58" t="n"/>
      <c r="O66" s="196" t="n">
        <v>-250</v>
      </c>
      <c r="P66" s="196" t="n">
        <v>0</v>
      </c>
      <c r="Q66" s="196">
        <f>O66+P66</f>
        <v/>
      </c>
      <c r="R66" s="203">
        <f>R65+Q66</f>
        <v/>
      </c>
      <c r="U66" s="204" t="n"/>
    </row>
    <row r="67" ht="15" customFormat="1" customHeight="1" s="25">
      <c r="B67" s="31">
        <f>B66+1</f>
        <v/>
      </c>
      <c r="C67" s="32" t="n">
        <v>46230</v>
      </c>
      <c r="D67" s="32" t="n">
        <v>46230</v>
      </c>
      <c r="E67" s="9">
        <f>IF(C67="","",MONTH(C67))</f>
        <v/>
      </c>
      <c r="F67" s="9">
        <f>IF(C67="","",YEAR(C67))</f>
        <v/>
      </c>
      <c r="G67" s="9" t="n">
        <v>2026</v>
      </c>
      <c r="H67" s="32" t="inlineStr">
        <is>
          <t xml:space="preserve">PAYE </t>
        </is>
      </c>
      <c r="I67" s="25" t="inlineStr">
        <is>
          <t>Immobilisations</t>
        </is>
      </c>
      <c r="J67" s="25" t="inlineStr">
        <is>
          <t>Achat de participation</t>
        </is>
      </c>
      <c r="K67" s="25" t="inlineStr">
        <is>
          <t>Green Enerbras One SCSp</t>
        </is>
      </c>
      <c r="L67" s="34" t="n"/>
      <c r="M67" s="47" t="inlineStr">
        <is>
          <t>Tri Star Enerbras One SCP</t>
        </is>
      </c>
      <c r="N67" s="58" t="n"/>
      <c r="O67" s="196" t="n">
        <v>-50000</v>
      </c>
      <c r="P67" s="196" t="n">
        <v>0</v>
      </c>
      <c r="Q67" s="196">
        <f>O67+P67</f>
        <v/>
      </c>
      <c r="R67" s="203">
        <f>R66+Q67</f>
        <v/>
      </c>
      <c r="U67" s="204" t="n"/>
    </row>
    <row r="68" ht="15" customFormat="1" customHeight="1" s="25">
      <c r="B68" s="31">
        <f>B67+1</f>
        <v/>
      </c>
      <c r="C68" s="32" t="n">
        <v>46230</v>
      </c>
      <c r="D68" s="32" t="n">
        <v>46230</v>
      </c>
      <c r="E68" s="9">
        <f>IF(C68="","",MONTH(C68))</f>
        <v/>
      </c>
      <c r="F68" s="9">
        <f>IF(C68="","",YEAR(C68))</f>
        <v/>
      </c>
      <c r="G68" s="9" t="n">
        <v>2026</v>
      </c>
      <c r="H68" s="32" t="inlineStr">
        <is>
          <t xml:space="preserve">PAYE </t>
        </is>
      </c>
      <c r="I68" s="25" t="inlineStr">
        <is>
          <t>Frais bancaires</t>
        </is>
      </c>
      <c r="J68" s="25" t="inlineStr">
        <is>
          <t>Frais sur transfert</t>
        </is>
      </c>
      <c r="K68" s="25" t="inlineStr">
        <is>
          <t>Green Enerbras One SCSp</t>
        </is>
      </c>
      <c r="L68" s="34" t="n"/>
      <c r="M68" s="47" t="inlineStr">
        <is>
          <t>Banque de Luxembourg</t>
        </is>
      </c>
      <c r="N68" s="58" t="n"/>
      <c r="O68" s="196" t="n">
        <v>-25</v>
      </c>
      <c r="P68" s="196" t="n">
        <v>0</v>
      </c>
      <c r="Q68" s="196">
        <f>O68+P68</f>
        <v/>
      </c>
      <c r="R68" s="203">
        <f>R67+Q68</f>
        <v/>
      </c>
      <c r="U68" s="204" t="n"/>
    </row>
    <row r="69" ht="15" customFormat="1" customHeight="1" s="25">
      <c r="B69" s="31" t="n"/>
      <c r="C69" s="32" t="n"/>
      <c r="D69" s="32" t="n"/>
      <c r="E69" s="32" t="n"/>
      <c r="F69" s="32" t="n"/>
      <c r="G69" s="32" t="n"/>
      <c r="H69" s="32" t="n"/>
      <c r="L69" s="34" t="n"/>
      <c r="N69" s="58" t="n"/>
      <c r="O69" s="196" t="n"/>
      <c r="P69" s="196" t="n"/>
      <c r="Q69" s="196" t="n"/>
      <c r="R69" s="203">
        <f>R68+Q69</f>
        <v/>
      </c>
      <c r="U69" s="204" t="n"/>
    </row>
    <row r="70" ht="15" customFormat="1" customHeight="1" s="25">
      <c r="B70" s="31" t="n"/>
      <c r="C70" s="32" t="n"/>
      <c r="D70" s="32" t="n"/>
      <c r="E70" s="32" t="n"/>
      <c r="F70" s="32" t="n"/>
      <c r="G70" s="32" t="n"/>
      <c r="H70" s="32" t="n"/>
      <c r="L70" s="34" t="n"/>
      <c r="M70" s="47" t="n"/>
      <c r="N70" s="58" t="n"/>
      <c r="O70" s="196" t="n"/>
      <c r="P70" s="196" t="n"/>
      <c r="Q70" s="196" t="n"/>
      <c r="R70" s="203">
        <f>R69+Q70</f>
        <v/>
      </c>
      <c r="U70" s="204" t="n"/>
    </row>
    <row r="71" ht="15" customFormat="1" customHeight="1" s="25">
      <c r="B71" s="31" t="n"/>
      <c r="C71" s="24" t="n"/>
      <c r="D71" s="24" t="n"/>
      <c r="E71" s="24" t="n"/>
      <c r="F71" s="24" t="n"/>
      <c r="G71" s="24" t="n"/>
      <c r="H71" s="24" t="n"/>
      <c r="L71" s="24" t="n"/>
      <c r="M71" s="24" t="n"/>
      <c r="N71" s="58" t="n"/>
      <c r="O71" s="196" t="n"/>
      <c r="P71" s="196" t="n"/>
      <c r="Q71" s="196" t="n"/>
      <c r="R71" s="203">
        <f>IF(Q71="",".",R70+Q71)</f>
        <v/>
      </c>
      <c r="U71" s="204" t="n"/>
    </row>
    <row r="72" ht="15" customFormat="1" customHeight="1" s="25">
      <c r="B72" s="37" t="n"/>
      <c r="C72" s="39" t="n"/>
      <c r="D72" s="39" t="n"/>
      <c r="E72" s="39" t="n"/>
      <c r="F72" s="39" t="n"/>
      <c r="G72" s="39" t="n"/>
      <c r="H72" s="39" t="n"/>
      <c r="I72" s="38" t="n"/>
      <c r="J72" s="38" t="n"/>
      <c r="K72" s="38" t="n"/>
      <c r="L72" s="39" t="n"/>
      <c r="M72" s="48" t="n"/>
      <c r="N72" s="60" t="n"/>
      <c r="O72" s="208">
        <f>SUM(O7:O71)</f>
        <v/>
      </c>
      <c r="P72" s="208">
        <f>SUM(P7:P71)</f>
        <v/>
      </c>
      <c r="Q72" s="208">
        <f>SUM(Q7:Q71)</f>
        <v/>
      </c>
      <c r="R72" s="209">
        <f>INDEX(R7:R71,COUNTIF(R7:R71,"&lt;&gt;."))</f>
        <v/>
      </c>
      <c r="U72" s="204" t="n"/>
    </row>
    <row r="73" customFormat="1" s="18">
      <c r="B73" s="14" t="n"/>
      <c r="C73" s="14" t="n"/>
      <c r="D73" s="14" t="n"/>
      <c r="E73" s="14" t="n"/>
      <c r="F73" s="14" t="n"/>
      <c r="G73" s="14" t="n"/>
      <c r="H73" s="14" t="n"/>
      <c r="I73" s="15" t="n"/>
      <c r="J73" s="15" t="n"/>
      <c r="K73" s="15" t="n"/>
      <c r="L73" s="14" t="n"/>
      <c r="M73" s="14" t="n"/>
      <c r="N73" s="61" t="n"/>
      <c r="O73" s="14" t="n"/>
      <c r="P73" s="14" t="n"/>
      <c r="Q73" s="194" t="n"/>
      <c r="R73" s="195" t="n"/>
    </row>
    <row r="74" ht="15" customFormat="1" customHeight="1" s="25">
      <c r="B74" s="31">
        <f>B83+1</f>
        <v/>
      </c>
      <c r="C74" s="32" t="n"/>
      <c r="D74" s="32" t="n"/>
      <c r="E74" s="9">
        <f>IF(C74="","",MONTH(C74))</f>
        <v/>
      </c>
      <c r="F74" s="9">
        <f>IF(C74="","",YEAR(C74))</f>
        <v/>
      </c>
      <c r="G74" s="9" t="n"/>
      <c r="H74" s="32" t="inlineStr">
        <is>
          <t>NON</t>
        </is>
      </c>
      <c r="I74" s="25" t="inlineStr">
        <is>
          <t>Frais Administratives</t>
        </is>
      </c>
      <c r="K74" s="25" t="inlineStr">
        <is>
          <t>Green Enerbras One SCSp</t>
        </is>
      </c>
      <c r="L74" s="34" t="n"/>
      <c r="M74" s="47" t="n"/>
      <c r="N74" s="58" t="n"/>
      <c r="O74" s="196" t="n">
        <v>0</v>
      </c>
      <c r="P74" s="196">
        <f>O74*$P$5</f>
        <v/>
      </c>
      <c r="Q74" s="196">
        <f>O74+P74</f>
        <v/>
      </c>
      <c r="R74" s="203">
        <f>R83+Q74</f>
        <v/>
      </c>
      <c r="U74" s="204" t="n"/>
    </row>
    <row r="75" ht="15" customFormat="1" customHeight="1" s="25">
      <c r="B75" s="31">
        <f>B74+1</f>
        <v/>
      </c>
      <c r="C75" s="32" t="n"/>
      <c r="D75" s="32" t="n"/>
      <c r="E75" s="9">
        <f>IF(C75="","",MONTH(C75))</f>
        <v/>
      </c>
      <c r="F75" s="9">
        <f>IF(C75="","",YEAR(C75))</f>
        <v/>
      </c>
      <c r="G75" s="9" t="n"/>
      <c r="H75" s="32" t="inlineStr">
        <is>
          <t>NON</t>
        </is>
      </c>
      <c r="I75" s="25" t="inlineStr">
        <is>
          <t>Frais Administratives</t>
        </is>
      </c>
      <c r="J75" s="25" t="inlineStr">
        <is>
          <t>Total frais avances</t>
        </is>
      </c>
      <c r="K75" s="25" t="inlineStr">
        <is>
          <t>Tubia Edoardo</t>
        </is>
      </c>
      <c r="L75" s="34" t="n"/>
      <c r="M75" s="47" t="inlineStr">
        <is>
          <t>Green Enerbras One SCSp</t>
        </is>
      </c>
      <c r="N75" s="58" t="n"/>
      <c r="O75" s="196" t="n">
        <v>0</v>
      </c>
      <c r="P75" s="196">
        <f>O75*$P$5</f>
        <v/>
      </c>
      <c r="Q75" s="196">
        <f>O75+P75</f>
        <v/>
      </c>
      <c r="R75" s="203">
        <f>R74+Q75</f>
        <v/>
      </c>
      <c r="U75" s="204" t="n"/>
    </row>
    <row r="76" ht="15" customFormat="1" customHeight="1" s="25">
      <c r="B76" s="31">
        <f>B75+1</f>
        <v/>
      </c>
      <c r="C76" s="32" t="n"/>
      <c r="D76" s="32" t="n"/>
      <c r="E76" s="9">
        <f>IF(C76="","",MONTH(C76))</f>
        <v/>
      </c>
      <c r="F76" s="9">
        <f>IF(C76="","",YEAR(C76))</f>
        <v/>
      </c>
      <c r="G76" s="9" t="n"/>
      <c r="H76" s="32" t="inlineStr">
        <is>
          <t>NON</t>
        </is>
      </c>
      <c r="I76" s="25" t="inlineStr">
        <is>
          <t>Frais Administratives</t>
        </is>
      </c>
      <c r="J76" s="25" t="inlineStr">
        <is>
          <t>Remboursement des frais</t>
        </is>
      </c>
      <c r="K76" s="25" t="inlineStr">
        <is>
          <t>Green Enerbras One SCSp</t>
        </is>
      </c>
      <c r="L76" s="34" t="n"/>
      <c r="M76" s="47" t="inlineStr">
        <is>
          <t>Tubia Edoardo</t>
        </is>
      </c>
      <c r="N76" s="58" t="n"/>
      <c r="O76" s="196">
        <f>-O75</f>
        <v/>
      </c>
      <c r="P76" s="196">
        <f>O76*$P$5</f>
        <v/>
      </c>
      <c r="Q76" s="196">
        <f>O76+P76</f>
        <v/>
      </c>
      <c r="R76" s="203">
        <f>R75+Q76</f>
        <v/>
      </c>
      <c r="U76" s="204" t="n"/>
    </row>
    <row r="80">
      <c r="I80" s="15" t="inlineStr">
        <is>
          <t>Le entry fees saranno pagate al G.P. New Life Sàrl solo alla prima distribuzione dei risultati della SCSp</t>
        </is>
      </c>
    </row>
    <row r="81">
      <c r="I81" s="15" t="inlineStr">
        <is>
          <t>Invece di distribuire dividendo o rimborsare parte della Limited Partner's Contribution verrà compensata.</t>
        </is>
      </c>
    </row>
    <row r="82">
      <c r="I82" s="15" t="inlineStr">
        <is>
          <t>In questo modo non si intacca le disponibilità della SCSp sino ai primi risultati positivi.</t>
        </is>
      </c>
    </row>
  </sheetData>
  <autoFilter ref="B6:R72"/>
  <mergeCells count="1">
    <mergeCell ref="Q5:R5"/>
  </mergeCells>
  <pageMargins left="0.25" right="0.25" top="0.75" bottom="0.75" header="0.3" footer="0.3"/>
  <pageSetup orientation="landscape" paperSize="9" scale="83" horizontalDpi="4294967293" vertic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"/>
  <sheetViews>
    <sheetView zoomScaleNormal="100" workbookViewId="0">
      <pane ySplit="1" topLeftCell="A31" activePane="bottomLeft" state="frozen"/>
      <selection pane="bottomLeft" activeCell="K47" sqref="K47"/>
    </sheetView>
  </sheetViews>
  <sheetFormatPr baseColWidth="8" defaultColWidth="9.140625" defaultRowHeight="15"/>
  <cols>
    <col width="10.7109375" bestFit="1" customWidth="1" style="6" min="1" max="2"/>
    <col width="7.42578125" customWidth="1" style="7" min="3" max="3"/>
    <col width="7" customWidth="1" style="7" min="4" max="5"/>
    <col width="16.28515625" customWidth="1" style="210" min="6" max="6"/>
    <col width="9.7109375" customWidth="1" style="7" min="7" max="7"/>
    <col width="7.7109375" customWidth="1" style="7" min="8" max="8"/>
    <col width="14" customWidth="1" style="211" min="9" max="9"/>
    <col width="9.7109375" customWidth="1" style="21" min="10" max="10"/>
    <col width="10.42578125" customWidth="1" style="211" min="11" max="11"/>
    <col width="13.85546875" bestFit="1" customWidth="1" style="211" min="12" max="12"/>
    <col width="13.85546875" customWidth="1" style="211" min="13" max="13"/>
    <col width="6.42578125" customWidth="1" style="9" min="14" max="14"/>
    <col width="29.140625" customWidth="1" min="15" max="15"/>
    <col width="20.5703125" customWidth="1" min="16" max="16"/>
    <col width="31.7109375" customWidth="1" min="17" max="17"/>
    <col width="16.85546875" customWidth="1" min="18" max="18"/>
    <col width="44.85546875" customWidth="1" min="19" max="19"/>
    <col width="26.5703125" customWidth="1" style="56" min="20" max="20"/>
    <col width="24.7109375" customWidth="1" min="21" max="21"/>
    <col width="8.28515625" bestFit="1" customWidth="1" min="22" max="22"/>
    <col width="25.85546875" customWidth="1" min="23" max="23"/>
    <col width="7" customWidth="1" style="9" min="24" max="25"/>
    <col width="17.7109375" customWidth="1" min="26" max="26"/>
    <col width="10.7109375" bestFit="1" customWidth="1" min="28" max="29"/>
  </cols>
  <sheetData>
    <row r="1">
      <c r="A1" s="1" t="inlineStr">
        <is>
          <t>data</t>
        </is>
      </c>
      <c r="B1" s="1" t="inlineStr">
        <is>
          <t xml:space="preserve">valuta </t>
        </is>
      </c>
      <c r="C1" s="2" t="inlineStr">
        <is>
          <t>Mese</t>
        </is>
      </c>
      <c r="D1" s="2" t="inlineStr">
        <is>
          <t>anno</t>
        </is>
      </c>
      <c r="E1" s="2" t="inlineStr">
        <is>
          <t>Competenza</t>
        </is>
      </c>
      <c r="F1" s="212" t="inlineStr">
        <is>
          <t>BRL</t>
        </is>
      </c>
      <c r="G1" s="2" t="inlineStr">
        <is>
          <t>Change</t>
        </is>
      </c>
      <c r="H1" s="2" t="inlineStr">
        <is>
          <t>INTR</t>
        </is>
      </c>
      <c r="I1" s="213" t="inlineStr">
        <is>
          <t>Imp</t>
        </is>
      </c>
      <c r="J1" s="20" t="inlineStr">
        <is>
          <t>% TVA</t>
        </is>
      </c>
      <c r="K1" s="213" t="inlineStr">
        <is>
          <t>TVA</t>
        </is>
      </c>
      <c r="L1" s="213" t="inlineStr">
        <is>
          <t>Importo</t>
        </is>
      </c>
      <c r="M1" s="213" t="inlineStr">
        <is>
          <t>Progressivo</t>
        </is>
      </c>
      <c r="N1" s="5" t="inlineStr">
        <is>
          <t>B/P</t>
        </is>
      </c>
      <c r="O1" s="5" t="inlineStr">
        <is>
          <t>A/P C/R</t>
        </is>
      </c>
      <c r="P1" s="4" t="inlineStr">
        <is>
          <t>CLASSE</t>
        </is>
      </c>
      <c r="Q1" s="4" t="inlineStr">
        <is>
          <t>TIPOLOGIA</t>
        </is>
      </c>
      <c r="R1" s="4" t="inlineStr">
        <is>
          <t>Type</t>
        </is>
      </c>
      <c r="S1" s="4" t="inlineStr">
        <is>
          <t>descrizione</t>
        </is>
      </c>
      <c r="T1" s="55" t="inlineStr">
        <is>
          <t>Fattura</t>
        </is>
      </c>
      <c r="U1" s="4" t="inlineStr">
        <is>
          <t>Beneficiario</t>
        </is>
      </c>
      <c r="V1" s="5" t="inlineStr">
        <is>
          <t>BANK</t>
        </is>
      </c>
      <c r="W1" s="4" t="inlineStr">
        <is>
          <t>Origine</t>
        </is>
      </c>
      <c r="X1" s="5" t="inlineStr">
        <is>
          <t>PAYE</t>
        </is>
      </c>
      <c r="Y1" s="5" t="inlineStr">
        <is>
          <t>TVA V</t>
        </is>
      </c>
    </row>
    <row r="2">
      <c r="A2" s="6" t="n">
        <v>45898</v>
      </c>
      <c r="B2" s="6" t="n">
        <v>45898</v>
      </c>
      <c r="C2" s="7">
        <f>IF(B2="","",MONTH(B2))</f>
        <v/>
      </c>
      <c r="D2" s="7">
        <f>IF(B2="","",YEAR(B2))</f>
        <v/>
      </c>
      <c r="E2" s="7" t="n">
        <v>2025</v>
      </c>
      <c r="F2" s="214" t="n"/>
      <c r="H2" s="7" t="inlineStr">
        <is>
          <t>LUX</t>
        </is>
      </c>
      <c r="I2" s="211" t="n">
        <v>1000</v>
      </c>
      <c r="L2" s="211">
        <f>I2</f>
        <v/>
      </c>
      <c r="M2" s="211">
        <f>L2</f>
        <v/>
      </c>
      <c r="N2" s="9" t="inlineStr">
        <is>
          <t>BIL</t>
        </is>
      </c>
      <c r="O2" t="inlineStr">
        <is>
          <t>CAPITAUX PROPRES ET PASSIF</t>
        </is>
      </c>
      <c r="P2" t="inlineStr">
        <is>
          <t>A. CAPITAUX PROPRES</t>
        </is>
      </c>
      <c r="Q2" t="inlineStr">
        <is>
          <t>I. CAPITAL SOUSCRIT</t>
        </is>
      </c>
      <c r="S2" t="inlineStr">
        <is>
          <t>1010000 - Capital Souscrit</t>
        </is>
      </c>
      <c r="U2" t="inlineStr">
        <is>
          <t>NEW LIFE Sarl</t>
        </is>
      </c>
      <c r="V2" t="inlineStr">
        <is>
          <t>BDL</t>
        </is>
      </c>
      <c r="W2" t="inlineStr">
        <is>
          <t>NEW LIFE Sarl</t>
        </is>
      </c>
      <c r="X2" s="9" t="inlineStr">
        <is>
          <t>OUI</t>
        </is>
      </c>
    </row>
    <row r="3">
      <c r="A3" s="6" t="n">
        <v>45901</v>
      </c>
      <c r="B3" s="6" t="n">
        <v>45901</v>
      </c>
      <c r="C3" s="7">
        <f>IF(B3="","",MONTH(B3))</f>
        <v/>
      </c>
      <c r="D3" s="7">
        <f>IF(B3="","",YEAR(B3))</f>
        <v/>
      </c>
      <c r="E3" s="7" t="n">
        <v>2025</v>
      </c>
      <c r="F3" s="214" t="n"/>
      <c r="H3" s="7" t="inlineStr">
        <is>
          <t>LUX</t>
        </is>
      </c>
      <c r="I3" s="211" t="n">
        <v>10000</v>
      </c>
      <c r="L3" s="211">
        <f>I3</f>
        <v/>
      </c>
      <c r="M3" s="211">
        <f>M2+L3</f>
        <v/>
      </c>
      <c r="N3" s="9" t="inlineStr">
        <is>
          <t>BIL</t>
        </is>
      </c>
      <c r="O3" t="inlineStr">
        <is>
          <t>CAPITAUX PROPRES ET PASSIF</t>
        </is>
      </c>
      <c r="P3" t="inlineStr">
        <is>
          <t>A. CAPITAUX PROPRES</t>
        </is>
      </c>
      <c r="Q3" t="inlineStr">
        <is>
          <t>I. CAPITAL SOUSCRIT</t>
        </is>
      </c>
      <c r="S3" t="inlineStr">
        <is>
          <t>1010000 - Capital Souscrit</t>
        </is>
      </c>
      <c r="U3" t="inlineStr">
        <is>
          <t>Tubia Edoardo</t>
        </is>
      </c>
      <c r="V3" t="inlineStr">
        <is>
          <t>BDL</t>
        </is>
      </c>
      <c r="W3" t="inlineStr">
        <is>
          <t>Tubia Edoardo</t>
        </is>
      </c>
      <c r="X3" s="9" t="inlineStr">
        <is>
          <t>OUI</t>
        </is>
      </c>
    </row>
    <row r="4">
      <c r="A4" s="6" t="n">
        <v>45747</v>
      </c>
      <c r="B4" s="6" t="n">
        <v>45902</v>
      </c>
      <c r="C4" s="7">
        <f>IF(B4="","",MONTH(B4))</f>
        <v/>
      </c>
      <c r="D4" s="7">
        <f>IF(B4="","",YEAR(B4))</f>
        <v/>
      </c>
      <c r="E4" s="7" t="n">
        <v>2025</v>
      </c>
      <c r="F4" s="214" t="n"/>
      <c r="H4" s="7" t="inlineStr">
        <is>
          <t>LUX</t>
        </is>
      </c>
      <c r="I4" s="211" t="n">
        <v>-105.91</v>
      </c>
      <c r="J4" s="21" t="n">
        <v>0.17</v>
      </c>
      <c r="K4" s="211">
        <f>I4*J4</f>
        <v/>
      </c>
      <c r="L4" s="211">
        <f>I4</f>
        <v/>
      </c>
      <c r="M4" s="211">
        <f>M3+L4</f>
        <v/>
      </c>
      <c r="N4" s="9" t="inlineStr">
        <is>
          <t>PP</t>
        </is>
      </c>
      <c r="O4" t="inlineStr">
        <is>
          <t>COSTS</t>
        </is>
      </c>
      <c r="Q4" t="inlineStr">
        <is>
          <t>6135000 - FRAIS D'ACTES NOTARIES ET ASSIMILES</t>
        </is>
      </c>
      <c r="S4" t="inlineStr">
        <is>
          <t>Immatriculationn - Frais administratifs</t>
        </is>
      </c>
      <c r="T4" s="56" t="inlineStr">
        <is>
          <t>001-2025</t>
        </is>
      </c>
      <c r="U4" t="inlineStr">
        <is>
          <t>R.C.S. Luxembourg</t>
        </is>
      </c>
      <c r="W4" t="inlineStr">
        <is>
          <t>Green Enerbras One SCSp</t>
        </is>
      </c>
      <c r="X4" s="9" t="inlineStr">
        <is>
          <t>OUI</t>
        </is>
      </c>
      <c r="Y4" s="9" t="inlineStr">
        <is>
          <t>X</t>
        </is>
      </c>
    </row>
    <row r="5">
      <c r="A5" s="6" t="n">
        <v>45747</v>
      </c>
      <c r="B5" s="6" t="n">
        <v>45902</v>
      </c>
      <c r="C5" s="7">
        <f>IF(B5="","",MONTH(B5))</f>
        <v/>
      </c>
      <c r="D5" s="7">
        <f>IF(B5="","",YEAR(B5))</f>
        <v/>
      </c>
      <c r="E5" s="7" t="n">
        <v>2025</v>
      </c>
      <c r="F5" s="214" t="n"/>
      <c r="H5" s="7" t="inlineStr">
        <is>
          <t>LUX</t>
        </is>
      </c>
      <c r="I5" s="211" t="n">
        <v>-12</v>
      </c>
      <c r="J5" s="21" t="n">
        <v>0</v>
      </c>
      <c r="K5" s="211">
        <f>I5*J5</f>
        <v/>
      </c>
      <c r="L5" s="211">
        <f>I5</f>
        <v/>
      </c>
      <c r="M5" s="211">
        <f>M4+L5</f>
        <v/>
      </c>
      <c r="N5" s="9" t="inlineStr">
        <is>
          <t>PP</t>
        </is>
      </c>
      <c r="O5" t="inlineStr">
        <is>
          <t>COSTS</t>
        </is>
      </c>
      <c r="Q5" t="inlineStr">
        <is>
          <t>6135000 - FRAIS D'ACTES NOTARIES ET ASSIMILES</t>
        </is>
      </c>
      <c r="S5" t="inlineStr">
        <is>
          <t>Frais d'extrait RCS</t>
        </is>
      </c>
      <c r="T5" s="56" t="inlineStr">
        <is>
          <t>001-2025</t>
        </is>
      </c>
      <c r="U5" t="inlineStr">
        <is>
          <t>R.C.S. Luxembourg</t>
        </is>
      </c>
      <c r="W5" t="inlineStr">
        <is>
          <t>Green Enerbras One SCSp</t>
        </is>
      </c>
      <c r="X5" s="9" t="inlineStr">
        <is>
          <t>OUI</t>
        </is>
      </c>
      <c r="Y5" s="9" t="inlineStr">
        <is>
          <t>X</t>
        </is>
      </c>
    </row>
    <row r="6">
      <c r="A6" s="6" t="n">
        <v>45754</v>
      </c>
      <c r="B6" s="6" t="n">
        <v>45902</v>
      </c>
      <c r="C6" s="7">
        <f>IF(B6="","",MONTH(B6))</f>
        <v/>
      </c>
      <c r="D6" s="7">
        <f>IF(B6="","",YEAR(B6))</f>
        <v/>
      </c>
      <c r="E6" s="7" t="n">
        <v>2025</v>
      </c>
      <c r="F6" s="214" t="n"/>
      <c r="H6" s="7" t="inlineStr">
        <is>
          <t>LUX</t>
        </is>
      </c>
      <c r="I6" s="211" t="n">
        <v>-21.43</v>
      </c>
      <c r="J6" s="21" t="n">
        <v>0.17</v>
      </c>
      <c r="K6" s="211">
        <f>I6*J6</f>
        <v/>
      </c>
      <c r="L6" s="211">
        <f>I6</f>
        <v/>
      </c>
      <c r="M6" s="211">
        <f>M5+L6</f>
        <v/>
      </c>
      <c r="N6" s="9" t="inlineStr">
        <is>
          <t>PP</t>
        </is>
      </c>
      <c r="O6" t="inlineStr">
        <is>
          <t>COSTS</t>
        </is>
      </c>
      <c r="Q6" t="inlineStr">
        <is>
          <t>6135000 - FRAIS D'ACTES NOTARIES ET ASSIMILES</t>
        </is>
      </c>
      <c r="S6" t="inlineStr">
        <is>
          <t>Frais d'extrait RCS - Papier Securise</t>
        </is>
      </c>
      <c r="T6" s="56" t="inlineStr">
        <is>
          <t>002-2025</t>
        </is>
      </c>
      <c r="U6" t="inlineStr">
        <is>
          <t>R.C.S. Luxembourg</t>
        </is>
      </c>
      <c r="W6" t="inlineStr">
        <is>
          <t>Green Enerbras One SCSp</t>
        </is>
      </c>
      <c r="X6" s="9" t="inlineStr">
        <is>
          <t>OUI</t>
        </is>
      </c>
      <c r="Y6" s="9" t="inlineStr">
        <is>
          <t>X</t>
        </is>
      </c>
    </row>
    <row r="7">
      <c r="A7" s="6" t="n">
        <v>45754</v>
      </c>
      <c r="B7" s="6" t="n">
        <v>45902</v>
      </c>
      <c r="C7" s="7">
        <f>IF(B7="","",MONTH(B7))</f>
        <v/>
      </c>
      <c r="D7" s="7">
        <f>IF(B7="","",YEAR(B7))</f>
        <v/>
      </c>
      <c r="E7" s="7" t="n">
        <v>2025</v>
      </c>
      <c r="F7" s="214" t="n"/>
      <c r="G7" s="215" t="n"/>
      <c r="H7" s="7" t="inlineStr">
        <is>
          <t>LUX</t>
        </is>
      </c>
      <c r="I7" s="211" t="n">
        <v>-15</v>
      </c>
      <c r="J7" s="21" t="n">
        <v>0.17</v>
      </c>
      <c r="K7" s="211">
        <f>I7*J7</f>
        <v/>
      </c>
      <c r="L7" s="211">
        <f>I7</f>
        <v/>
      </c>
      <c r="M7" s="211">
        <f>M6+L7</f>
        <v/>
      </c>
      <c r="N7" s="9" t="inlineStr">
        <is>
          <t>PP</t>
        </is>
      </c>
      <c r="O7" t="inlineStr">
        <is>
          <t>COSTS</t>
        </is>
      </c>
      <c r="Q7" t="inlineStr">
        <is>
          <t>6135000 - FRAIS D'ACTES NOTARIES ET ASSIMILES</t>
        </is>
      </c>
      <c r="S7" t="inlineStr">
        <is>
          <t>Inscription au RBE des Beneficiaires effectifs</t>
        </is>
      </c>
      <c r="T7" s="56" t="inlineStr">
        <is>
          <t>003-2025</t>
        </is>
      </c>
      <c r="U7" t="inlineStr">
        <is>
          <t>R.B.E. Luxembourg</t>
        </is>
      </c>
      <c r="W7" t="inlineStr">
        <is>
          <t>Green Enerbras One SCSp</t>
        </is>
      </c>
      <c r="X7" s="9" t="inlineStr">
        <is>
          <t>OUI</t>
        </is>
      </c>
      <c r="Y7" s="9" t="inlineStr">
        <is>
          <t>X</t>
        </is>
      </c>
    </row>
    <row r="8">
      <c r="A8" s="6" t="n">
        <v>45754</v>
      </c>
      <c r="B8" s="6" t="n">
        <v>45902</v>
      </c>
      <c r="C8" s="7">
        <f>IF(B8="","",MONTH(B8))</f>
        <v/>
      </c>
      <c r="D8" s="7">
        <f>IF(B8="","",YEAR(B8))</f>
        <v/>
      </c>
      <c r="E8" s="7" t="n">
        <v>2025</v>
      </c>
      <c r="F8" s="214" t="n"/>
      <c r="G8" s="215" t="n"/>
      <c r="H8" s="7" t="inlineStr">
        <is>
          <t>LUX</t>
        </is>
      </c>
      <c r="I8" s="211" t="n">
        <v>-60</v>
      </c>
      <c r="J8" s="21" t="n">
        <v>0</v>
      </c>
      <c r="K8" s="211">
        <f>I8*J8</f>
        <v/>
      </c>
      <c r="L8" s="211">
        <f>I8</f>
        <v/>
      </c>
      <c r="M8" s="211">
        <f>M7+L8</f>
        <v/>
      </c>
      <c r="N8" s="9" t="inlineStr">
        <is>
          <t>PP</t>
        </is>
      </c>
      <c r="O8" t="inlineStr">
        <is>
          <t>COSTS</t>
        </is>
      </c>
      <c r="Q8" t="inlineStr">
        <is>
          <t>6135000 - FRAIS D'ACTES NOTARIES ET ASSIMILES</t>
        </is>
      </c>
      <c r="S8" t="inlineStr">
        <is>
          <t>Apostille sur documentation Ministere des Affaires Etrangeres et Europeennes</t>
        </is>
      </c>
      <c r="T8" s="56" t="inlineStr">
        <is>
          <t>004-2025</t>
        </is>
      </c>
      <c r="U8" t="inlineStr">
        <is>
          <t>Ministere des Affaires Etrangeres et Europeennes</t>
        </is>
      </c>
      <c r="W8" t="inlineStr">
        <is>
          <t>Green Enerbras One SCSp</t>
        </is>
      </c>
      <c r="X8" s="9" t="inlineStr">
        <is>
          <t>OUI</t>
        </is>
      </c>
      <c r="Y8" s="9" t="inlineStr">
        <is>
          <t>X</t>
        </is>
      </c>
    </row>
    <row r="9">
      <c r="A9" s="6" t="n">
        <v>45755</v>
      </c>
      <c r="B9" s="6" t="n">
        <v>45902</v>
      </c>
      <c r="C9" s="7">
        <f>IF(B9="","",MONTH(B9))</f>
        <v/>
      </c>
      <c r="D9" s="7">
        <f>IF(B9="","",YEAR(B9))</f>
        <v/>
      </c>
      <c r="E9" s="7" t="n">
        <v>2025</v>
      </c>
      <c r="F9" s="214" t="n"/>
      <c r="G9" s="215" t="n"/>
      <c r="H9" s="7" t="inlineStr">
        <is>
          <t>LUX</t>
        </is>
      </c>
      <c r="I9" s="211" t="n">
        <v>-40</v>
      </c>
      <c r="J9" s="21" t="n">
        <v>0</v>
      </c>
      <c r="K9" s="211">
        <f>I9*J9</f>
        <v/>
      </c>
      <c r="L9" s="211">
        <f>I9</f>
        <v/>
      </c>
      <c r="M9" s="211">
        <f>M8+L9</f>
        <v/>
      </c>
      <c r="N9" s="9" t="inlineStr">
        <is>
          <t>PP</t>
        </is>
      </c>
      <c r="O9" t="inlineStr">
        <is>
          <t>COSTS</t>
        </is>
      </c>
      <c r="Q9" t="inlineStr">
        <is>
          <t>6135000 - FRAIS D'ACTES NOTARIES ET ASSIMILES</t>
        </is>
      </c>
      <c r="S9" t="inlineStr">
        <is>
          <t>Apostille sur documentation Ministere des Affaires Etrangeres et Europeennes</t>
        </is>
      </c>
      <c r="T9" s="56" t="inlineStr">
        <is>
          <t>005-2025</t>
        </is>
      </c>
      <c r="U9" t="inlineStr">
        <is>
          <t>Ministere des Affaires Etrangeres et Europeennes</t>
        </is>
      </c>
      <c r="W9" t="inlineStr">
        <is>
          <t>Green Enerbras One SCSp</t>
        </is>
      </c>
      <c r="X9" s="9" t="inlineStr">
        <is>
          <t>OUI</t>
        </is>
      </c>
      <c r="Y9" s="9" t="inlineStr">
        <is>
          <t>X</t>
        </is>
      </c>
    </row>
    <row r="10">
      <c r="A10" s="6" t="n">
        <v>45779</v>
      </c>
      <c r="B10" s="6" t="n">
        <v>45902</v>
      </c>
      <c r="C10" s="7">
        <f>IF(B10="","",MONTH(B10))</f>
        <v/>
      </c>
      <c r="D10" s="7">
        <f>IF(B10="","",YEAR(B10))</f>
        <v/>
      </c>
      <c r="E10" s="7" t="n">
        <v>2025</v>
      </c>
      <c r="F10" s="214" t="n"/>
      <c r="G10" s="215" t="n"/>
      <c r="H10" s="7" t="inlineStr">
        <is>
          <t>LUX</t>
        </is>
      </c>
      <c r="I10" s="211" t="n">
        <v>-25.64</v>
      </c>
      <c r="J10" s="21" t="n">
        <v>0.17</v>
      </c>
      <c r="K10" s="211">
        <f>I10*J10</f>
        <v/>
      </c>
      <c r="L10" s="211">
        <f>I10</f>
        <v/>
      </c>
      <c r="M10" s="211">
        <f>M9+L10</f>
        <v/>
      </c>
      <c r="N10" s="9" t="inlineStr">
        <is>
          <t>PP</t>
        </is>
      </c>
      <c r="O10" t="inlineStr">
        <is>
          <t>COSTS</t>
        </is>
      </c>
      <c r="Q10" t="inlineStr">
        <is>
          <t>6135000 - FRAIS D'ACTES NOTARIES ET ASSIMILES</t>
        </is>
      </c>
      <c r="S10" t="inlineStr">
        <is>
          <t>Legalisation documentation</t>
        </is>
      </c>
      <c r="T10" s="56" t="inlineStr">
        <is>
          <t>006-2025 - Invoice 2501657</t>
        </is>
      </c>
      <c r="U10" t="inlineStr">
        <is>
          <t>Notaire Martine Schaeffer</t>
        </is>
      </c>
      <c r="W10" t="inlineStr">
        <is>
          <t>Green Enerbras One SCSp</t>
        </is>
      </c>
      <c r="X10" s="9" t="inlineStr">
        <is>
          <t>OUI</t>
        </is>
      </c>
      <c r="Y10" s="9" t="inlineStr">
        <is>
          <t>X</t>
        </is>
      </c>
    </row>
    <row r="11">
      <c r="A11" s="6" t="n">
        <v>45796</v>
      </c>
      <c r="B11" s="6" t="n">
        <v>45902</v>
      </c>
      <c r="C11" s="7">
        <f>IF(B11="","",MONTH(B11))</f>
        <v/>
      </c>
      <c r="D11" s="7">
        <f>IF(B11="","",YEAR(B11))</f>
        <v/>
      </c>
      <c r="E11" s="7" t="n">
        <v>2025</v>
      </c>
      <c r="F11" s="214" t="n"/>
      <c r="G11" s="215" t="n"/>
      <c r="H11" s="7" t="inlineStr">
        <is>
          <t>LUX</t>
        </is>
      </c>
      <c r="I11" s="211" t="n">
        <v>-96.92</v>
      </c>
      <c r="J11" s="21" t="n">
        <v>0.17</v>
      </c>
      <c r="K11" s="211">
        <f>I11*J11</f>
        <v/>
      </c>
      <c r="L11" s="211">
        <f>I11</f>
        <v/>
      </c>
      <c r="M11" s="211">
        <f>M10+L11</f>
        <v/>
      </c>
      <c r="N11" s="9" t="inlineStr">
        <is>
          <t>PP</t>
        </is>
      </c>
      <c r="O11" t="inlineStr">
        <is>
          <t>COSTS</t>
        </is>
      </c>
      <c r="Q11" t="inlineStr">
        <is>
          <t>6135000 - FRAIS D'ACTES NOTARIES ET ASSIMILES</t>
        </is>
      </c>
      <c r="S11" t="inlineStr">
        <is>
          <t>Legalisation documentation</t>
        </is>
      </c>
      <c r="T11" s="56" t="inlineStr">
        <is>
          <t>007-2025 - Invoice 2501874</t>
        </is>
      </c>
      <c r="U11" t="inlineStr">
        <is>
          <t>Notaire Martine Schaeffer</t>
        </is>
      </c>
      <c r="W11" t="inlineStr">
        <is>
          <t>Green Enerbras One SCSp</t>
        </is>
      </c>
      <c r="X11" s="9" t="inlineStr">
        <is>
          <t>OUI</t>
        </is>
      </c>
      <c r="Y11" s="9" t="inlineStr">
        <is>
          <t>X</t>
        </is>
      </c>
    </row>
    <row r="12">
      <c r="A12" s="6" t="n">
        <v>45796</v>
      </c>
      <c r="B12" s="6" t="n">
        <v>45902</v>
      </c>
      <c r="C12" s="7">
        <f>IF(B12="","",MONTH(B12))</f>
        <v/>
      </c>
      <c r="D12" s="7">
        <f>IF(B12="","",YEAR(B12))</f>
        <v/>
      </c>
      <c r="E12" s="7" t="n">
        <v>2025</v>
      </c>
      <c r="F12" s="214" t="n"/>
      <c r="G12" s="215" t="n"/>
      <c r="H12" s="7" t="inlineStr">
        <is>
          <t>LUX</t>
        </is>
      </c>
      <c r="I12" s="211" t="n">
        <v>-60</v>
      </c>
      <c r="J12" s="21" t="n">
        <v>0</v>
      </c>
      <c r="K12" s="211">
        <f>I12*J12</f>
        <v/>
      </c>
      <c r="L12" s="211">
        <f>I12</f>
        <v/>
      </c>
      <c r="M12" s="211">
        <f>M11+L12</f>
        <v/>
      </c>
      <c r="N12" s="9" t="inlineStr">
        <is>
          <t>PP</t>
        </is>
      </c>
      <c r="O12" t="inlineStr">
        <is>
          <t>COSTS</t>
        </is>
      </c>
      <c r="Q12" t="inlineStr">
        <is>
          <t>6135000 - FRAIS D'ACTES NOTARIES ET ASSIMILES</t>
        </is>
      </c>
      <c r="S12" t="inlineStr">
        <is>
          <t>Legalisation documentation</t>
        </is>
      </c>
      <c r="T12" s="56" t="inlineStr">
        <is>
          <t>007-2025 - Invoice 2501874</t>
        </is>
      </c>
      <c r="U12" t="inlineStr">
        <is>
          <t>Notaire Martine Schaeffer</t>
        </is>
      </c>
      <c r="W12" t="inlineStr">
        <is>
          <t>Green Enerbras One SCSp</t>
        </is>
      </c>
      <c r="X12" s="9" t="inlineStr">
        <is>
          <t>OUI</t>
        </is>
      </c>
      <c r="Y12" s="9" t="inlineStr">
        <is>
          <t>X</t>
        </is>
      </c>
    </row>
    <row r="13">
      <c r="A13" s="6" t="n">
        <v>45860</v>
      </c>
      <c r="B13" s="6" t="n">
        <v>45902</v>
      </c>
      <c r="C13" s="7">
        <f>IF(B13="","",MONTH(B13))</f>
        <v/>
      </c>
      <c r="D13" s="7">
        <f>IF(B13="","",YEAR(B13))</f>
        <v/>
      </c>
      <c r="E13" s="7" t="n">
        <v>2025</v>
      </c>
      <c r="F13" s="214" t="n"/>
      <c r="G13" s="215" t="n"/>
      <c r="H13" s="7" t="inlineStr">
        <is>
          <t>LUX</t>
        </is>
      </c>
      <c r="I13" s="211" t="n">
        <v>-15</v>
      </c>
      <c r="J13" s="21" t="n">
        <v>0.17</v>
      </c>
      <c r="K13" s="211">
        <f>I13*J13</f>
        <v/>
      </c>
      <c r="L13" s="211">
        <f>I13</f>
        <v/>
      </c>
      <c r="M13" s="211">
        <f>M12+L13</f>
        <v/>
      </c>
      <c r="N13" s="9" t="inlineStr">
        <is>
          <t>PP</t>
        </is>
      </c>
      <c r="O13" t="inlineStr">
        <is>
          <t>COSTS</t>
        </is>
      </c>
      <c r="Q13" t="inlineStr">
        <is>
          <t>6135000 - FRAIS D'ACTES NOTARIES ET ASSIMILES</t>
        </is>
      </c>
      <c r="S13" t="inlineStr">
        <is>
          <t>Inscription au RBE des Beneficiaires effectifs</t>
        </is>
      </c>
      <c r="T13" s="56" t="inlineStr">
        <is>
          <t>008-2025</t>
        </is>
      </c>
      <c r="U13" t="inlineStr">
        <is>
          <t>R.B.E. Luxembourg</t>
        </is>
      </c>
      <c r="W13" t="inlineStr">
        <is>
          <t>Green Enerbras One SCSp</t>
        </is>
      </c>
      <c r="X13" s="9" t="inlineStr">
        <is>
          <t>OUI</t>
        </is>
      </c>
      <c r="Y13" s="9" t="inlineStr">
        <is>
          <t>X</t>
        </is>
      </c>
    </row>
    <row r="14">
      <c r="A14" s="253" t="n">
        <v>45902</v>
      </c>
      <c r="B14" s="253" t="n">
        <v>45902</v>
      </c>
      <c r="C14">
        <f>IF(B14="","",MONTH(B14))</f>
        <v/>
      </c>
      <c r="D14">
        <f>IF(B14="","",YEAR(B14))</f>
        <v/>
      </c>
      <c r="E14" t="n">
        <v>2025</v>
      </c>
      <c r="H14" t="inlineStr">
        <is>
          <t>LUX</t>
        </is>
      </c>
      <c r="I14" t="n">
        <v>-47.583</v>
      </c>
      <c r="J14" t="n">
        <v>0</v>
      </c>
      <c r="K14" t="n">
        <v>0</v>
      </c>
      <c r="L14">
        <f>I14</f>
        <v/>
      </c>
      <c r="M14">
        <f>M13+L14</f>
        <v/>
      </c>
      <c r="N14" t="inlineStr">
        <is>
          <t>PP</t>
        </is>
      </c>
      <c r="O14" t="inlineStr">
        <is>
          <t>COSTS</t>
        </is>
      </c>
      <c r="Q14" t="inlineStr">
        <is>
          <t>6511200 - TVA NON RECUPERABLE</t>
        </is>
      </c>
      <c r="S14" t="inlineStr">
        <is>
          <t>TVA non recuperabile su frais d'actes notaries et administratifs</t>
        </is>
      </c>
      <c r="T14" t="inlineStr">
        <is>
          <t>001..008-2025</t>
        </is>
      </c>
      <c r="U14" t="inlineStr">
        <is>
          <t>Administration de l'Enregistrement, des Domaines et de la TVA</t>
        </is>
      </c>
      <c r="W14" t="inlineStr">
        <is>
          <t>Green Enerbras One SCSp</t>
        </is>
      </c>
      <c r="X14" t="inlineStr">
        <is>
          <t>OUI</t>
        </is>
      </c>
      <c r="Y14" t="inlineStr">
        <is>
          <t>X</t>
        </is>
      </c>
    </row>
    <row r="15">
      <c r="A15" s="6" t="n">
        <v>45902</v>
      </c>
      <c r="B15" s="6" t="n">
        <v>45902</v>
      </c>
      <c r="C15" s="7">
        <f>IF(B15="","",MONTH(B15))</f>
        <v/>
      </c>
      <c r="D15" s="7">
        <f>IF(B15="","",YEAR(B15))</f>
        <v/>
      </c>
      <c r="E15" s="7" t="n">
        <v>2025</v>
      </c>
      <c r="F15" s="214" t="n"/>
      <c r="G15" s="215" t="n"/>
      <c r="H15" s="7" t="inlineStr">
        <is>
          <t>LUX</t>
        </is>
      </c>
      <c r="I15" s="211">
        <f>-SUM(I4:I14)</f>
        <v/>
      </c>
      <c r="J15" s="21" t="n"/>
      <c r="K15" s="211" t="n"/>
      <c r="L15" s="211">
        <f>I15</f>
        <v/>
      </c>
      <c r="M15" s="211">
        <f>M14+L15</f>
        <v/>
      </c>
      <c r="N15" s="9" t="inlineStr">
        <is>
          <t>PP</t>
        </is>
      </c>
      <c r="O15" t="inlineStr">
        <is>
          <t>COSTS</t>
        </is>
      </c>
      <c r="Q15" t="inlineStr">
        <is>
          <t>6135000 - FRAIS D'ACTES NOTARIES ET ASSIMILES</t>
        </is>
      </c>
      <c r="S15" t="inlineStr">
        <is>
          <t>Remboursement des Frais</t>
        </is>
      </c>
      <c r="U15" t="inlineStr">
        <is>
          <t>Tubia Edoardo</t>
        </is>
      </c>
      <c r="V15" t="inlineStr">
        <is>
          <t>BDL</t>
        </is>
      </c>
      <c r="W15" t="inlineStr">
        <is>
          <t>Green Enerbras One SCSp</t>
        </is>
      </c>
      <c r="X15" s="9" t="inlineStr">
        <is>
          <t>OUI</t>
        </is>
      </c>
      <c r="Y15" s="9" t="inlineStr">
        <is>
          <t>X</t>
        </is>
      </c>
    </row>
    <row r="16">
      <c r="A16" s="6" t="n">
        <v>45902</v>
      </c>
      <c r="B16" s="6" t="n">
        <v>45902</v>
      </c>
      <c r="C16" s="7">
        <f>IF(B16="","",MONTH(B16))</f>
        <v/>
      </c>
      <c r="D16" s="7">
        <f>IF(B16="","",YEAR(B16))</f>
        <v/>
      </c>
      <c r="E16" s="7" t="n">
        <v>2025</v>
      </c>
      <c r="F16" s="214" t="n"/>
      <c r="G16" s="215" t="n"/>
      <c r="H16" s="7" t="inlineStr">
        <is>
          <t>LUX</t>
        </is>
      </c>
      <c r="I16" s="211">
        <f>-I15</f>
        <v/>
      </c>
      <c r="J16" s="21" t="n"/>
      <c r="K16" s="211" t="n"/>
      <c r="L16" s="211">
        <f>I16</f>
        <v/>
      </c>
      <c r="M16" s="211">
        <f>M15+L16</f>
        <v/>
      </c>
      <c r="N16" s="9" t="inlineStr">
        <is>
          <t>PP</t>
        </is>
      </c>
      <c r="O16" t="inlineStr">
        <is>
          <t>COSTS</t>
        </is>
      </c>
      <c r="Q16" t="inlineStr">
        <is>
          <t>6135000 - FRAIS D'ACTES NOTARIES ET ASSIMILES</t>
        </is>
      </c>
      <c r="S16" t="inlineStr">
        <is>
          <t>Remboursement des Frais</t>
        </is>
      </c>
      <c r="U16" t="inlineStr">
        <is>
          <t>Tubia Edoardo</t>
        </is>
      </c>
      <c r="V16" t="inlineStr">
        <is>
          <t>BDL</t>
        </is>
      </c>
      <c r="W16" t="inlineStr">
        <is>
          <t>Green Enerbras One SCSp</t>
        </is>
      </c>
      <c r="X16" s="9" t="inlineStr">
        <is>
          <t>OUI</t>
        </is>
      </c>
      <c r="Y16" s="9" t="inlineStr">
        <is>
          <t>X</t>
        </is>
      </c>
    </row>
    <row r="17">
      <c r="A17" s="6" t="n">
        <v>45909</v>
      </c>
      <c r="B17" s="6" t="n">
        <v>45909</v>
      </c>
      <c r="C17" s="7">
        <f>IF(B17="","",MONTH(B17))</f>
        <v/>
      </c>
      <c r="D17" s="7">
        <f>IF(B17="","",YEAR(B17))</f>
        <v/>
      </c>
      <c r="E17" s="7" t="n">
        <v>2025</v>
      </c>
      <c r="F17" s="214" t="n"/>
      <c r="H17" s="7" t="inlineStr">
        <is>
          <t>LUX</t>
        </is>
      </c>
      <c r="I17" s="211" t="n">
        <v>10000</v>
      </c>
      <c r="L17" s="211">
        <f>I17</f>
        <v/>
      </c>
      <c r="M17" s="211">
        <f>M16+L17</f>
        <v/>
      </c>
      <c r="N17" s="9" t="inlineStr">
        <is>
          <t>BIL</t>
        </is>
      </c>
      <c r="O17" t="inlineStr">
        <is>
          <t>CAPITAUX PROPRES ET PASSIF</t>
        </is>
      </c>
      <c r="P17" t="inlineStr">
        <is>
          <t>A. CAPITAUX PROPRES</t>
        </is>
      </c>
      <c r="Q17" t="inlineStr">
        <is>
          <t>I. CAPITAL SOUSCRIT</t>
        </is>
      </c>
      <c r="S17" t="inlineStr">
        <is>
          <t>1010000 - Capital Souscrit</t>
        </is>
      </c>
      <c r="U17" t="inlineStr">
        <is>
          <t>Tubia Edoardo</t>
        </is>
      </c>
      <c r="V17" t="inlineStr">
        <is>
          <t>BDL</t>
        </is>
      </c>
      <c r="W17" t="inlineStr">
        <is>
          <t>Tubia Edoardo</t>
        </is>
      </c>
      <c r="X17" s="9" t="inlineStr">
        <is>
          <t>OUI</t>
        </is>
      </c>
    </row>
    <row r="18">
      <c r="A18" s="6" t="n">
        <v>45929</v>
      </c>
      <c r="B18" s="6" t="n">
        <v>45929</v>
      </c>
      <c r="C18" s="7">
        <f>IF(B18="","",MONTH(B18))</f>
        <v/>
      </c>
      <c r="D18" s="7">
        <f>IF(B18="","",YEAR(B18))</f>
        <v/>
      </c>
      <c r="E18" s="7" t="n">
        <v>2025</v>
      </c>
      <c r="F18" s="214" t="n"/>
      <c r="H18" s="7" t="inlineStr">
        <is>
          <t>LUX</t>
        </is>
      </c>
      <c r="I18" s="211" t="n">
        <v>20000</v>
      </c>
      <c r="L18" s="211">
        <f>I18</f>
        <v/>
      </c>
      <c r="M18" s="211">
        <f>M17+L18</f>
        <v/>
      </c>
      <c r="N18" s="9" t="inlineStr">
        <is>
          <t>BIL</t>
        </is>
      </c>
      <c r="O18" t="inlineStr">
        <is>
          <t>CAPITAUX PROPRES ET PASSIF</t>
        </is>
      </c>
      <c r="P18" t="inlineStr">
        <is>
          <t>A. CAPITAUX PROPRES</t>
        </is>
      </c>
      <c r="Q18" t="inlineStr">
        <is>
          <t>I. CAPITAL SOUSCRIT</t>
        </is>
      </c>
      <c r="S18" t="inlineStr">
        <is>
          <t>1010000 - Capital Souscrit</t>
        </is>
      </c>
      <c r="U18" t="inlineStr">
        <is>
          <t>Tubia Silvia</t>
        </is>
      </c>
      <c r="V18" t="inlineStr">
        <is>
          <t>BDL</t>
        </is>
      </c>
      <c r="W18" t="inlineStr">
        <is>
          <t>Tubia Silvia</t>
        </is>
      </c>
      <c r="X18" s="9" t="inlineStr">
        <is>
          <t>OUI</t>
        </is>
      </c>
    </row>
    <row r="19">
      <c r="A19" s="6" t="n">
        <v>45931</v>
      </c>
      <c r="B19" s="6" t="n">
        <v>45931</v>
      </c>
      <c r="C19" s="7">
        <f>IF(B19="","",MONTH(B19))</f>
        <v/>
      </c>
      <c r="D19" s="7">
        <f>IF(B19="","",YEAR(B19))</f>
        <v/>
      </c>
      <c r="E19" s="7" t="n">
        <v>2025</v>
      </c>
      <c r="F19" s="214" t="n"/>
      <c r="H19" s="7" t="inlineStr">
        <is>
          <t>LUX</t>
        </is>
      </c>
      <c r="I19" s="211" t="n">
        <v>20000</v>
      </c>
      <c r="L19" s="211">
        <f>I19</f>
        <v/>
      </c>
      <c r="M19" s="211">
        <f>M18+L19</f>
        <v/>
      </c>
      <c r="N19" s="9" t="inlineStr">
        <is>
          <t>BIL</t>
        </is>
      </c>
      <c r="O19" t="inlineStr">
        <is>
          <t>CAPITAUX PROPRES ET PASSIF</t>
        </is>
      </c>
      <c r="P19" t="inlineStr">
        <is>
          <t>A. CAPITAUX PROPRES</t>
        </is>
      </c>
      <c r="Q19" t="inlineStr">
        <is>
          <t>I. CAPITAL SOUSCRIT</t>
        </is>
      </c>
      <c r="S19" t="inlineStr">
        <is>
          <t>1010000 - Capital Souscrit</t>
        </is>
      </c>
      <c r="U19" t="inlineStr">
        <is>
          <t>Tubia Edoardo</t>
        </is>
      </c>
      <c r="V19" t="inlineStr">
        <is>
          <t>BDL</t>
        </is>
      </c>
      <c r="W19" t="inlineStr">
        <is>
          <t>Tubia Edoardo</t>
        </is>
      </c>
      <c r="X19" s="9" t="inlineStr">
        <is>
          <t>OUI</t>
        </is>
      </c>
    </row>
    <row r="20">
      <c r="A20" s="6" t="n">
        <v>45945</v>
      </c>
      <c r="B20" s="6" t="n">
        <v>45945</v>
      </c>
      <c r="C20" s="7">
        <f>IF(B20="","",MONTH(B20))</f>
        <v/>
      </c>
      <c r="D20" s="7">
        <f>IF(B20="","",YEAR(B20))</f>
        <v/>
      </c>
      <c r="E20" s="7" t="n">
        <v>2025</v>
      </c>
      <c r="F20" s="214" t="n"/>
      <c r="G20" s="215" t="n"/>
      <c r="H20" s="7" t="inlineStr">
        <is>
          <t>LUX</t>
        </is>
      </c>
      <c r="I20" s="211" t="n">
        <v>-250</v>
      </c>
      <c r="L20" s="211">
        <f>I20</f>
        <v/>
      </c>
      <c r="M20" s="211">
        <f>M19+L20</f>
        <v/>
      </c>
      <c r="N20" s="9" t="inlineStr">
        <is>
          <t>PP</t>
        </is>
      </c>
      <c r="O20" t="inlineStr">
        <is>
          <t>COSTS</t>
        </is>
      </c>
      <c r="Q20" t="inlineStr">
        <is>
          <t>61333 - FRAIS DE COMPTE BANQUE</t>
        </is>
      </c>
      <c r="S20" t="inlineStr">
        <is>
          <t>Frais bancaires</t>
        </is>
      </c>
      <c r="U20" t="inlineStr">
        <is>
          <t>Banque de Luxembourg</t>
        </is>
      </c>
      <c r="V20" t="inlineStr">
        <is>
          <t>BDL</t>
        </is>
      </c>
      <c r="W20" t="inlineStr">
        <is>
          <t>Green Enerbras One SCSp</t>
        </is>
      </c>
      <c r="X20" s="9" t="inlineStr">
        <is>
          <t>OUI</t>
        </is>
      </c>
    </row>
    <row r="21">
      <c r="A21" s="6" t="n">
        <v>45973</v>
      </c>
      <c r="B21" s="6" t="n">
        <v>45973</v>
      </c>
      <c r="C21" s="7">
        <f>IF(B21="","",MONTH(B21))</f>
        <v/>
      </c>
      <c r="D21" s="7">
        <f>IF(B21="","",YEAR(B21))</f>
        <v/>
      </c>
      <c r="E21" s="7" t="n">
        <v>2025</v>
      </c>
      <c r="F21" s="214" t="n">
        <v>305240</v>
      </c>
      <c r="G21" s="217">
        <f>F21/-I21</f>
        <v/>
      </c>
      <c r="H21" s="7" t="inlineStr">
        <is>
          <t>LUX</t>
        </is>
      </c>
      <c r="I21" s="211" t="n">
        <v>-50000</v>
      </c>
      <c r="L21" s="211">
        <f>I21</f>
        <v/>
      </c>
      <c r="M21" s="211">
        <f>M20+L21</f>
        <v/>
      </c>
      <c r="N21" s="66" t="inlineStr">
        <is>
          <t>BIL</t>
        </is>
      </c>
      <c r="O21" s="43" t="inlineStr">
        <is>
          <t>IMMOBILISATIONS</t>
        </is>
      </c>
      <c r="P21" s="68" t="inlineStr">
        <is>
          <t>23 - IMMOBILISATIONS FINANCIERES</t>
        </is>
      </c>
      <c r="Q21" s="68" t="inlineStr">
        <is>
          <t>233 - PARTICIPATIONS</t>
        </is>
      </c>
      <c r="R21" s="43" t="n"/>
      <c r="S21" s="43" t="inlineStr">
        <is>
          <t xml:space="preserve">Acquisition de participation </t>
        </is>
      </c>
      <c r="T21" s="67" t="n"/>
      <c r="U21" s="43" t="inlineStr">
        <is>
          <t>TRI STAR ENERBRAS ONE SCP</t>
        </is>
      </c>
      <c r="V21" s="43" t="inlineStr">
        <is>
          <t>BDL</t>
        </is>
      </c>
      <c r="W21" s="43" t="inlineStr">
        <is>
          <t>Green Enerbras One SCSp</t>
        </is>
      </c>
      <c r="X21" s="9" t="inlineStr">
        <is>
          <t>OUI</t>
        </is>
      </c>
    </row>
    <row r="22">
      <c r="A22" s="6" t="n">
        <v>45973</v>
      </c>
      <c r="B22" s="6" t="n">
        <v>45973</v>
      </c>
      <c r="C22" s="7">
        <f>IF(B22="","",MONTH(B22))</f>
        <v/>
      </c>
      <c r="D22" s="7">
        <f>IF(B22="","",YEAR(B22))</f>
        <v/>
      </c>
      <c r="E22" s="7" t="n">
        <v>2025</v>
      </c>
      <c r="F22" s="214" t="n"/>
      <c r="G22" s="215" t="n"/>
      <c r="H22" s="7" t="inlineStr">
        <is>
          <t>LUX</t>
        </is>
      </c>
      <c r="I22" s="211" t="n">
        <v>-5</v>
      </c>
      <c r="L22" s="211">
        <f>I22</f>
        <v/>
      </c>
      <c r="M22" s="211">
        <f>M21+L22</f>
        <v/>
      </c>
      <c r="N22" s="9" t="inlineStr">
        <is>
          <t>PP</t>
        </is>
      </c>
      <c r="O22" t="inlineStr">
        <is>
          <t>COSTS</t>
        </is>
      </c>
      <c r="Q22" t="inlineStr">
        <is>
          <t>61333 - FRAIS DE COMPTE BANQUE</t>
        </is>
      </c>
      <c r="S22" t="inlineStr">
        <is>
          <t>Frais bancaires</t>
        </is>
      </c>
      <c r="U22" t="inlineStr">
        <is>
          <t>Banque de Luxembourg</t>
        </is>
      </c>
      <c r="V22" t="inlineStr">
        <is>
          <t>BDL</t>
        </is>
      </c>
      <c r="W22" t="inlineStr">
        <is>
          <t>Green Enerbras One SCSp</t>
        </is>
      </c>
      <c r="X22" s="9" t="inlineStr">
        <is>
          <t>OUI</t>
        </is>
      </c>
    </row>
    <row r="23">
      <c r="A23" s="6" t="n">
        <v>45973</v>
      </c>
      <c r="B23" s="6" t="n">
        <v>45973</v>
      </c>
      <c r="C23" s="7">
        <f>IF(B23="","",MONTH(B23))</f>
        <v/>
      </c>
      <c r="D23" s="7">
        <f>IF(B23="","",YEAR(B23))</f>
        <v/>
      </c>
      <c r="E23" s="7" t="n">
        <v>2025</v>
      </c>
      <c r="F23" s="214" t="n"/>
      <c r="G23" s="215" t="n"/>
      <c r="H23" s="7" t="inlineStr">
        <is>
          <t>LUX</t>
        </is>
      </c>
      <c r="I23" s="211" t="n">
        <v>-4</v>
      </c>
      <c r="L23" s="211">
        <f>I23</f>
        <v/>
      </c>
      <c r="M23" s="211">
        <f>M22+L23</f>
        <v/>
      </c>
      <c r="N23" s="9" t="inlineStr">
        <is>
          <t>PP</t>
        </is>
      </c>
      <c r="O23" t="inlineStr">
        <is>
          <t>COSTS</t>
        </is>
      </c>
      <c r="Q23" t="inlineStr">
        <is>
          <t>61333 - FRAIS DE COMPTE BANQUE</t>
        </is>
      </c>
      <c r="S23" t="inlineStr">
        <is>
          <t>Frais bancaires</t>
        </is>
      </c>
      <c r="U23" t="inlineStr">
        <is>
          <t>Banque de Luxembourg</t>
        </is>
      </c>
      <c r="V23" t="inlineStr">
        <is>
          <t>BDL</t>
        </is>
      </c>
      <c r="W23" t="inlineStr">
        <is>
          <t>Green Enerbras One SCSp</t>
        </is>
      </c>
      <c r="X23" s="9" t="inlineStr">
        <is>
          <t>OUI</t>
        </is>
      </c>
    </row>
    <row r="24">
      <c r="A24" s="32" t="n">
        <v>45987</v>
      </c>
      <c r="B24" s="32" t="n">
        <v>45987</v>
      </c>
      <c r="C24" s="7">
        <f>IF(B24="","",MONTH(B24))</f>
        <v/>
      </c>
      <c r="D24" s="7">
        <f>IF(B24="","",YEAR(B24))</f>
        <v/>
      </c>
      <c r="E24" s="7" t="n">
        <v>2025</v>
      </c>
      <c r="F24" s="214" t="n"/>
      <c r="H24" s="7" t="inlineStr">
        <is>
          <t>LUX</t>
        </is>
      </c>
      <c r="I24" s="211" t="n">
        <v>20000</v>
      </c>
      <c r="L24" s="211">
        <f>I24</f>
        <v/>
      </c>
      <c r="M24" s="211">
        <f>M23+L24</f>
        <v/>
      </c>
      <c r="N24" s="9" t="inlineStr">
        <is>
          <t>BIL</t>
        </is>
      </c>
      <c r="O24" t="inlineStr">
        <is>
          <t>CAPITAUX PROPRES ET PASSIF</t>
        </is>
      </c>
      <c r="P24" t="inlineStr">
        <is>
          <t>A. CAPITAUX PROPRES</t>
        </is>
      </c>
      <c r="Q24" t="inlineStr">
        <is>
          <t>I. CAPITAL SOUSCRIT</t>
        </is>
      </c>
      <c r="S24" t="inlineStr">
        <is>
          <t>1010000 - Capital Souscrit</t>
        </is>
      </c>
      <c r="U24" t="inlineStr">
        <is>
          <t>Bertozzi Stefano</t>
        </is>
      </c>
      <c r="V24" t="inlineStr">
        <is>
          <t>BDL</t>
        </is>
      </c>
      <c r="W24" t="inlineStr">
        <is>
          <t>Tubia Edoardo</t>
        </is>
      </c>
      <c r="X24" s="9" t="inlineStr">
        <is>
          <t>OUI</t>
        </is>
      </c>
    </row>
    <row r="25">
      <c r="A25" s="32" t="n">
        <v>45987</v>
      </c>
      <c r="B25" s="32" t="n">
        <v>45987</v>
      </c>
      <c r="C25" s="7">
        <f>IF(B25="","",MONTH(B25))</f>
        <v/>
      </c>
      <c r="D25" s="7">
        <f>IF(B25="","",YEAR(B25))</f>
        <v/>
      </c>
      <c r="E25" s="7" t="n">
        <v>2025</v>
      </c>
      <c r="F25" s="214" t="n"/>
      <c r="H25" s="7" t="inlineStr">
        <is>
          <t>LUX</t>
        </is>
      </c>
      <c r="I25" s="211" t="n">
        <v>20000</v>
      </c>
      <c r="L25" s="211">
        <f>I25</f>
        <v/>
      </c>
      <c r="M25" s="211">
        <f>M24+L25</f>
        <v/>
      </c>
      <c r="N25" s="9" t="inlineStr">
        <is>
          <t>BIL</t>
        </is>
      </c>
      <c r="O25" t="inlineStr">
        <is>
          <t>CAPITAUX PROPRES ET PASSIF</t>
        </is>
      </c>
      <c r="P25" t="inlineStr">
        <is>
          <t>A. CAPITAUX PROPRES</t>
        </is>
      </c>
      <c r="Q25" t="inlineStr">
        <is>
          <t>I. CAPITAL SOUSCRIT</t>
        </is>
      </c>
      <c r="S25" t="inlineStr">
        <is>
          <t>1010000 - Capital Souscrit</t>
        </is>
      </c>
      <c r="U25" t="inlineStr">
        <is>
          <t>De Miguel Bellvis Maria</t>
        </is>
      </c>
      <c r="V25" t="inlineStr">
        <is>
          <t>BDL</t>
        </is>
      </c>
      <c r="W25" t="inlineStr">
        <is>
          <t>Tubia Edoardo</t>
        </is>
      </c>
      <c r="X25" s="9" t="inlineStr">
        <is>
          <t>OUI</t>
        </is>
      </c>
    </row>
    <row r="26">
      <c r="A26" s="32" t="n">
        <v>45988</v>
      </c>
      <c r="B26" s="32" t="n">
        <v>45988</v>
      </c>
      <c r="C26" s="7">
        <f>IF(B26="","",MONTH(B26))</f>
        <v/>
      </c>
      <c r="D26" s="7">
        <f>IF(B26="","",YEAR(B26))</f>
        <v/>
      </c>
      <c r="E26" s="7" t="n">
        <v>2025</v>
      </c>
      <c r="F26" s="214" t="n"/>
      <c r="H26" s="7" t="inlineStr">
        <is>
          <t>LUX</t>
        </is>
      </c>
      <c r="I26" s="211" t="n">
        <v>40000</v>
      </c>
      <c r="L26" s="211">
        <f>I26</f>
        <v/>
      </c>
      <c r="M26" s="211">
        <f>M25+L26</f>
        <v/>
      </c>
      <c r="N26" s="9" t="inlineStr">
        <is>
          <t>BIL</t>
        </is>
      </c>
      <c r="O26" t="inlineStr">
        <is>
          <t>CAPITAUX PROPRES ET PASSIF</t>
        </is>
      </c>
      <c r="P26" t="inlineStr">
        <is>
          <t>A. CAPITAUX PROPRES</t>
        </is>
      </c>
      <c r="Q26" t="inlineStr">
        <is>
          <t>I. CAPITAL SOUSCRIT</t>
        </is>
      </c>
      <c r="S26" t="inlineStr">
        <is>
          <t>1010000 - Capital Souscrit</t>
        </is>
      </c>
      <c r="U26" t="inlineStr">
        <is>
          <t>Desiderio Salvatore</t>
        </is>
      </c>
      <c r="V26" t="inlineStr">
        <is>
          <t>BDL</t>
        </is>
      </c>
      <c r="W26" t="inlineStr">
        <is>
          <t>Tubia Edoardo</t>
        </is>
      </c>
      <c r="X26" s="9" t="inlineStr">
        <is>
          <t>OUI</t>
        </is>
      </c>
    </row>
    <row r="27">
      <c r="A27" s="6" t="n">
        <v>45993</v>
      </c>
      <c r="B27" s="6" t="n">
        <v>45993</v>
      </c>
      <c r="C27" s="7">
        <f>IF(B27="","",MONTH(B27))</f>
        <v/>
      </c>
      <c r="D27" s="7">
        <f>IF(B27="","",YEAR(B27))</f>
        <v/>
      </c>
      <c r="E27" s="7" t="n">
        <v>2025</v>
      </c>
      <c r="F27" s="214" t="n">
        <v>306246</v>
      </c>
      <c r="G27" s="217">
        <f>F27/-I27</f>
        <v/>
      </c>
      <c r="H27" s="7" t="inlineStr">
        <is>
          <t>LUX</t>
        </is>
      </c>
      <c r="I27" s="211" t="n">
        <v>-50000</v>
      </c>
      <c r="L27" s="211">
        <f>I27</f>
        <v/>
      </c>
      <c r="M27" s="211">
        <f>M26+L27</f>
        <v/>
      </c>
      <c r="N27" s="66" t="inlineStr">
        <is>
          <t>BIL</t>
        </is>
      </c>
      <c r="O27" s="43" t="inlineStr">
        <is>
          <t>IMMOBILISATIONS</t>
        </is>
      </c>
      <c r="P27" s="68" t="inlineStr">
        <is>
          <t>23 - IMMOBILISATIONS FINANCIERES</t>
        </is>
      </c>
      <c r="Q27" s="68" t="inlineStr">
        <is>
          <t>233 - PARTICIPATIONS</t>
        </is>
      </c>
      <c r="R27" s="43" t="n"/>
      <c r="S27" s="43" t="inlineStr">
        <is>
          <t xml:space="preserve">Acquisition de participation </t>
        </is>
      </c>
      <c r="T27" s="67" t="n"/>
      <c r="U27" s="43" t="inlineStr">
        <is>
          <t>TRI STAR ENERBRAS ONE SCP</t>
        </is>
      </c>
      <c r="V27" s="43" t="inlineStr">
        <is>
          <t>BDL</t>
        </is>
      </c>
      <c r="W27" s="43" t="inlineStr">
        <is>
          <t>Green Enerbras One SCSp</t>
        </is>
      </c>
      <c r="X27" s="9" t="inlineStr">
        <is>
          <t>OUI</t>
        </is>
      </c>
    </row>
    <row r="28">
      <c r="A28" s="6" t="n">
        <v>45993</v>
      </c>
      <c r="B28" s="6" t="n">
        <v>45993</v>
      </c>
      <c r="C28" s="7">
        <f>IF(B28="","",MONTH(B28))</f>
        <v/>
      </c>
      <c r="D28" s="7">
        <f>IF(B28="","",YEAR(B28))</f>
        <v/>
      </c>
      <c r="E28" s="7" t="n">
        <v>2025</v>
      </c>
      <c r="F28" s="214" t="n"/>
      <c r="G28" s="215" t="n"/>
      <c r="H28" s="7" t="inlineStr">
        <is>
          <t>LUX</t>
        </is>
      </c>
      <c r="I28" s="211" t="n">
        <v>-5</v>
      </c>
      <c r="L28" s="211">
        <f>I28</f>
        <v/>
      </c>
      <c r="M28" s="211">
        <f>M27+L28</f>
        <v/>
      </c>
      <c r="N28" s="9" t="inlineStr">
        <is>
          <t>PP</t>
        </is>
      </c>
      <c r="O28" t="inlineStr">
        <is>
          <t>COSTS</t>
        </is>
      </c>
      <c r="Q28" t="inlineStr">
        <is>
          <t>61333 - FRAIS DE COMPTE BANQUE</t>
        </is>
      </c>
      <c r="S28" t="inlineStr">
        <is>
          <t>Frais bancaires</t>
        </is>
      </c>
      <c r="U28" t="inlineStr">
        <is>
          <t>Banque de Luxembourg</t>
        </is>
      </c>
      <c r="V28" t="inlineStr">
        <is>
          <t>BDL</t>
        </is>
      </c>
      <c r="W28" t="inlineStr">
        <is>
          <t>Green Enerbras One SCSp</t>
        </is>
      </c>
      <c r="X28" s="9" t="inlineStr">
        <is>
          <t>OUI</t>
        </is>
      </c>
    </row>
    <row r="29">
      <c r="A29" s="6" t="n">
        <v>45993</v>
      </c>
      <c r="B29" s="6" t="n">
        <v>45993</v>
      </c>
      <c r="C29" s="7">
        <f>IF(B29="","",MONTH(B29))</f>
        <v/>
      </c>
      <c r="D29" s="7">
        <f>IF(B29="","",YEAR(B29))</f>
        <v/>
      </c>
      <c r="E29" s="7" t="n">
        <v>2025</v>
      </c>
      <c r="F29" s="214" t="n"/>
      <c r="G29" s="215" t="n"/>
      <c r="H29" s="7" t="inlineStr">
        <is>
          <t>LUX</t>
        </is>
      </c>
      <c r="I29" s="211" t="n">
        <v>-4</v>
      </c>
      <c r="L29" s="211">
        <f>I29</f>
        <v/>
      </c>
      <c r="M29" s="211">
        <f>M28+L29</f>
        <v/>
      </c>
      <c r="N29" s="9" t="inlineStr">
        <is>
          <t>PP</t>
        </is>
      </c>
      <c r="O29" t="inlineStr">
        <is>
          <t>COSTS</t>
        </is>
      </c>
      <c r="Q29" t="inlineStr">
        <is>
          <t>61333 - FRAIS DE COMPTE BANQUE</t>
        </is>
      </c>
      <c r="S29" t="inlineStr">
        <is>
          <t>Frais bancaires</t>
        </is>
      </c>
      <c r="U29" t="inlineStr">
        <is>
          <t>Banque de Luxembourg</t>
        </is>
      </c>
      <c r="V29" t="inlineStr">
        <is>
          <t>BDL</t>
        </is>
      </c>
      <c r="W29" t="inlineStr">
        <is>
          <t>Green Enerbras One SCSp</t>
        </is>
      </c>
      <c r="X29" s="9" t="inlineStr">
        <is>
          <t>OUI</t>
        </is>
      </c>
    </row>
    <row r="30">
      <c r="A30" s="6" t="n">
        <v>45994</v>
      </c>
      <c r="B30" s="6" t="n">
        <v>45994</v>
      </c>
      <c r="C30" s="7">
        <f>IF(B30="","",MONTH(B30))</f>
        <v/>
      </c>
      <c r="D30" s="7">
        <f>IF(B30="","",YEAR(B30))</f>
        <v/>
      </c>
      <c r="E30" s="7" t="n">
        <v>2025</v>
      </c>
      <c r="F30" s="214" t="n"/>
      <c r="H30" s="7" t="inlineStr">
        <is>
          <t>LUX</t>
        </is>
      </c>
      <c r="I30" s="211" t="n">
        <v>20000</v>
      </c>
      <c r="L30" s="211">
        <f>I30</f>
        <v/>
      </c>
      <c r="M30" s="211">
        <f>M29+L30</f>
        <v/>
      </c>
      <c r="N30" s="9" t="inlineStr">
        <is>
          <t>BIL</t>
        </is>
      </c>
      <c r="O30" t="inlineStr">
        <is>
          <t>CAPITAUX PROPRES ET PASSIF</t>
        </is>
      </c>
      <c r="P30" t="inlineStr">
        <is>
          <t>A. CAPITAUX PROPRES</t>
        </is>
      </c>
      <c r="Q30" t="inlineStr">
        <is>
          <t>I. CAPITAL SOUSCRIT</t>
        </is>
      </c>
      <c r="S30" t="inlineStr">
        <is>
          <t>1010000 - Capital Souscrit</t>
        </is>
      </c>
      <c r="U30" t="inlineStr">
        <is>
          <t>Tubia Enrico</t>
        </is>
      </c>
      <c r="V30" t="inlineStr">
        <is>
          <t>BDL</t>
        </is>
      </c>
      <c r="W30" t="inlineStr">
        <is>
          <t>Tubia Enrico</t>
        </is>
      </c>
      <c r="X30" s="9" t="inlineStr">
        <is>
          <t>OUI</t>
        </is>
      </c>
    </row>
    <row r="31">
      <c r="A31" s="6" t="n">
        <v>46000</v>
      </c>
      <c r="B31" s="6" t="n">
        <v>46000</v>
      </c>
      <c r="C31" s="7">
        <f>IF(B31="","",MONTH(B31))</f>
        <v/>
      </c>
      <c r="D31" s="7">
        <f>IF(B31="","",YEAR(B31))</f>
        <v/>
      </c>
      <c r="E31" s="7" t="n">
        <v>2025</v>
      </c>
      <c r="F31" s="214" t="n"/>
      <c r="H31" s="7" t="inlineStr">
        <is>
          <t>LUX</t>
        </is>
      </c>
      <c r="I31" s="211" t="n">
        <v>20000</v>
      </c>
      <c r="L31" s="211">
        <f>I31</f>
        <v/>
      </c>
      <c r="M31" s="211">
        <f>M30+L31</f>
        <v/>
      </c>
      <c r="N31" s="9" t="inlineStr">
        <is>
          <t>BIL</t>
        </is>
      </c>
      <c r="O31" t="inlineStr">
        <is>
          <t>CAPITAUX PROPRES ET PASSIF</t>
        </is>
      </c>
      <c r="P31" t="inlineStr">
        <is>
          <t>A. CAPITAUX PROPRES</t>
        </is>
      </c>
      <c r="Q31" t="inlineStr">
        <is>
          <t>I. CAPITAL SOUSCRIT</t>
        </is>
      </c>
      <c r="S31" t="inlineStr">
        <is>
          <t>1010000 - Capital Souscrit</t>
        </is>
      </c>
      <c r="U31" t="inlineStr">
        <is>
          <t>Zaniboni Elisa</t>
        </is>
      </c>
      <c r="V31" t="inlineStr">
        <is>
          <t>BDL</t>
        </is>
      </c>
      <c r="W31" t="inlineStr">
        <is>
          <t>Zaniboni Elisa</t>
        </is>
      </c>
      <c r="X31" s="9" t="inlineStr">
        <is>
          <t>OUI</t>
        </is>
      </c>
    </row>
    <row r="32">
      <c r="A32" s="6" t="n">
        <v>46002</v>
      </c>
      <c r="B32" s="6" t="n">
        <v>46002</v>
      </c>
      <c r="C32" s="7">
        <f>IF(B32="","",MONTH(B32))</f>
        <v/>
      </c>
      <c r="D32" s="7">
        <f>IF(B32="","",YEAR(B32))</f>
        <v/>
      </c>
      <c r="E32" s="7" t="n">
        <v>2025</v>
      </c>
      <c r="F32" s="214" t="n"/>
      <c r="H32" s="7" t="inlineStr">
        <is>
          <t>LUX</t>
        </is>
      </c>
      <c r="I32" s="211" t="n">
        <v>20000</v>
      </c>
      <c r="L32" s="211">
        <f>I32</f>
        <v/>
      </c>
      <c r="M32" s="211">
        <f>M31+L32</f>
        <v/>
      </c>
      <c r="N32" s="9" t="inlineStr">
        <is>
          <t>BIL</t>
        </is>
      </c>
      <c r="O32" t="inlineStr">
        <is>
          <t>CAPITAUX PROPRES ET PASSIF</t>
        </is>
      </c>
      <c r="P32" t="inlineStr">
        <is>
          <t>A. CAPITAUX PROPRES</t>
        </is>
      </c>
      <c r="Q32" t="inlineStr">
        <is>
          <t>I. CAPITAL SOUSCRIT</t>
        </is>
      </c>
      <c r="S32" t="inlineStr">
        <is>
          <t>1010000 - Capital Souscrit</t>
        </is>
      </c>
      <c r="U32" t="inlineStr">
        <is>
          <t>Zaniboni Greta</t>
        </is>
      </c>
      <c r="V32" t="inlineStr">
        <is>
          <t>BDL</t>
        </is>
      </c>
      <c r="W32" t="inlineStr">
        <is>
          <t>Zaniboni Greta</t>
        </is>
      </c>
      <c r="X32" s="9" t="inlineStr">
        <is>
          <t>OUI</t>
        </is>
      </c>
    </row>
    <row r="33">
      <c r="A33" s="6" t="n">
        <v>46006</v>
      </c>
      <c r="B33" s="6" t="n">
        <v>46006</v>
      </c>
      <c r="C33" s="7">
        <f>IF(B33="","",MONTH(B33))</f>
        <v/>
      </c>
      <c r="D33" s="7">
        <f>IF(B33="","",YEAR(B33))</f>
        <v/>
      </c>
      <c r="E33" s="7" t="n">
        <v>2025</v>
      </c>
      <c r="F33" s="214" t="n">
        <v>317841</v>
      </c>
      <c r="G33" s="217">
        <f>F33/-I33</f>
        <v/>
      </c>
      <c r="H33" s="7" t="inlineStr">
        <is>
          <t>LUX</t>
        </is>
      </c>
      <c r="I33" s="211" t="n">
        <v>-50000</v>
      </c>
      <c r="L33" s="211">
        <f>I33</f>
        <v/>
      </c>
      <c r="M33" s="211">
        <f>M32+L33</f>
        <v/>
      </c>
      <c r="N33" s="66" t="inlineStr">
        <is>
          <t>BIL</t>
        </is>
      </c>
      <c r="O33" s="43" t="inlineStr">
        <is>
          <t>IMMOBILISATIONS</t>
        </is>
      </c>
      <c r="P33" s="68" t="inlineStr">
        <is>
          <t>23 - IMMOBILISATIONS FINANCIERES</t>
        </is>
      </c>
      <c r="Q33" s="68" t="inlineStr">
        <is>
          <t>233 - PARTICIPATIONS</t>
        </is>
      </c>
      <c r="R33" s="43" t="n"/>
      <c r="S33" s="43" t="inlineStr">
        <is>
          <t xml:space="preserve">Acquisition de participation </t>
        </is>
      </c>
      <c r="T33" s="67" t="n"/>
      <c r="U33" s="43" t="inlineStr">
        <is>
          <t>TRI STAR ENERBRAS ONE SCP</t>
        </is>
      </c>
      <c r="V33" s="43" t="inlineStr">
        <is>
          <t>BDL</t>
        </is>
      </c>
      <c r="W33" s="43" t="inlineStr">
        <is>
          <t>Green Enerbras One SCSp</t>
        </is>
      </c>
      <c r="X33" s="9" t="inlineStr">
        <is>
          <t>OUI</t>
        </is>
      </c>
    </row>
    <row r="34">
      <c r="A34" s="6" t="n">
        <v>46006</v>
      </c>
      <c r="B34" s="6" t="n">
        <v>46006</v>
      </c>
      <c r="C34" s="7">
        <f>IF(B34="","",MONTH(B34))</f>
        <v/>
      </c>
      <c r="D34" s="7">
        <f>IF(B34="","",YEAR(B34))</f>
        <v/>
      </c>
      <c r="E34" s="7" t="n">
        <v>2025</v>
      </c>
      <c r="F34" s="214" t="n"/>
      <c r="G34" s="215" t="n"/>
      <c r="H34" s="7" t="inlineStr">
        <is>
          <t>LUX</t>
        </is>
      </c>
      <c r="I34" s="211" t="n">
        <v>-5</v>
      </c>
      <c r="L34" s="211">
        <f>I34</f>
        <v/>
      </c>
      <c r="M34" s="211">
        <f>M33+L34</f>
        <v/>
      </c>
      <c r="N34" s="9" t="inlineStr">
        <is>
          <t>PP</t>
        </is>
      </c>
      <c r="O34" t="inlineStr">
        <is>
          <t>COSTS</t>
        </is>
      </c>
      <c r="Q34" t="inlineStr">
        <is>
          <t>61333 - FRAIS DE COMPTE BANQUE</t>
        </is>
      </c>
      <c r="S34" t="inlineStr">
        <is>
          <t>Frais bancaires</t>
        </is>
      </c>
      <c r="U34" t="inlineStr">
        <is>
          <t>Banque de Luxembourg</t>
        </is>
      </c>
      <c r="V34" t="inlineStr">
        <is>
          <t>BDL</t>
        </is>
      </c>
      <c r="W34" t="inlineStr">
        <is>
          <t>Green Enerbras One SCSp</t>
        </is>
      </c>
      <c r="X34" s="9" t="inlineStr">
        <is>
          <t>OUI</t>
        </is>
      </c>
    </row>
    <row r="35">
      <c r="A35" s="166" t="n">
        <v>46006</v>
      </c>
      <c r="B35" s="166" t="n">
        <v>46006</v>
      </c>
      <c r="C35" s="167">
        <f>IF(B35="","",MONTH(B35))</f>
        <v/>
      </c>
      <c r="D35" s="167">
        <f>IF(B35="","",YEAR(B35))</f>
        <v/>
      </c>
      <c r="E35" s="167" t="n">
        <v>2025</v>
      </c>
      <c r="F35" s="218" t="n"/>
      <c r="G35" s="219" t="n"/>
      <c r="H35" s="167" t="inlineStr">
        <is>
          <t>LUX</t>
        </is>
      </c>
      <c r="I35" s="220" t="n">
        <v>-4</v>
      </c>
      <c r="J35" s="164" t="n"/>
      <c r="K35" s="220" t="n"/>
      <c r="L35" s="220">
        <f>I35</f>
        <v/>
      </c>
      <c r="M35" s="220">
        <f>M34+L35</f>
        <v/>
      </c>
      <c r="N35" s="122" t="inlineStr">
        <is>
          <t>PP</t>
        </is>
      </c>
      <c r="O35" s="19" t="inlineStr">
        <is>
          <t>COSTS</t>
        </is>
      </c>
      <c r="P35" s="19" t="n"/>
      <c r="Q35" s="19" t="inlineStr">
        <is>
          <t>61333 - FRAIS DE COMPTE BANQUE</t>
        </is>
      </c>
      <c r="R35" s="19" t="n"/>
      <c r="S35" s="19" t="inlineStr">
        <is>
          <t>Frais bancaires</t>
        </is>
      </c>
      <c r="T35" s="170" t="n"/>
      <c r="U35" s="19" t="inlineStr">
        <is>
          <t>Banque de Luxembourg</t>
        </is>
      </c>
      <c r="V35" s="19" t="inlineStr">
        <is>
          <t>BDL</t>
        </is>
      </c>
      <c r="W35" s="19" t="inlineStr">
        <is>
          <t>Green Enerbras One SCSp</t>
        </is>
      </c>
      <c r="X35" s="122" t="inlineStr">
        <is>
          <t>OUI</t>
        </is>
      </c>
      <c r="Y35" s="122" t="n"/>
    </row>
    <row r="36">
      <c r="A36" s="6" t="n">
        <v>46037</v>
      </c>
      <c r="B36" s="6" t="n">
        <v>46037</v>
      </c>
      <c r="C36" s="7">
        <f>IF(B36="","",MONTH(B36))</f>
        <v/>
      </c>
      <c r="D36" s="7">
        <f>IF(B36="","",YEAR(B36))</f>
        <v/>
      </c>
      <c r="E36" s="7" t="n">
        <v>2026</v>
      </c>
      <c r="F36" s="214" t="n"/>
      <c r="G36" s="215" t="n"/>
      <c r="H36" s="7" t="inlineStr">
        <is>
          <t>LUX</t>
        </is>
      </c>
      <c r="I36" s="211" t="n">
        <v>-250</v>
      </c>
      <c r="L36" s="211">
        <f>I36</f>
        <v/>
      </c>
      <c r="M36" s="211">
        <f>M35+L36</f>
        <v/>
      </c>
      <c r="N36" s="9" t="inlineStr">
        <is>
          <t>PP</t>
        </is>
      </c>
      <c r="O36" t="inlineStr">
        <is>
          <t>COSTS</t>
        </is>
      </c>
      <c r="Q36" t="inlineStr">
        <is>
          <t>61333 - FRAIS DE COMPTE BANQUE</t>
        </is>
      </c>
      <c r="S36" t="inlineStr">
        <is>
          <t>Frais bancaires</t>
        </is>
      </c>
      <c r="U36" t="inlineStr">
        <is>
          <t>Banque de Luxembourg</t>
        </is>
      </c>
      <c r="V36" t="inlineStr">
        <is>
          <t>BDL</t>
        </is>
      </c>
      <c r="W36" t="inlineStr">
        <is>
          <t>Green Enerbras One SCSp</t>
        </is>
      </c>
      <c r="X36" s="9" t="inlineStr">
        <is>
          <t>OUI</t>
        </is>
      </c>
    </row>
    <row r="37">
      <c r="A37" s="6" t="n">
        <v>46048</v>
      </c>
      <c r="B37" s="6" t="n">
        <v>46048</v>
      </c>
      <c r="C37" s="7">
        <f>IF(B37="","",MONTH(B37))</f>
        <v/>
      </c>
      <c r="D37" s="7">
        <f>IF(B37="","",YEAR(B37))</f>
        <v/>
      </c>
      <c r="E37" s="7" t="n">
        <v>2025</v>
      </c>
      <c r="F37" s="214" t="n"/>
      <c r="G37" s="215" t="n"/>
      <c r="H37" s="7" t="inlineStr">
        <is>
          <t>LUX</t>
        </is>
      </c>
      <c r="I37" s="196" t="n">
        <v>-341.88</v>
      </c>
      <c r="J37" s="21" t="n">
        <v>0.17</v>
      </c>
      <c r="K37" s="211" t="n">
        <v>-58.12</v>
      </c>
      <c r="L37" s="211">
        <f>I37+K37</f>
        <v/>
      </c>
      <c r="M37" s="211">
        <f>M36+L37</f>
        <v/>
      </c>
      <c r="N37" s="9" t="inlineStr">
        <is>
          <t>PP</t>
        </is>
      </c>
      <c r="O37" t="inlineStr">
        <is>
          <t>COSTS</t>
        </is>
      </c>
      <c r="P37" s="43" t="n"/>
      <c r="Q37" s="43" t="n"/>
      <c r="S37" t="inlineStr">
        <is>
          <t>Participation Fee 2%</t>
        </is>
      </c>
      <c r="T37" s="56" t="inlineStr">
        <is>
          <t>New Life Sàrl 013/2026</t>
        </is>
      </c>
      <c r="U37" t="inlineStr">
        <is>
          <t>NEW LIFE Sarl</t>
        </is>
      </c>
      <c r="W37" t="inlineStr">
        <is>
          <t>Tubia Edoardo</t>
        </is>
      </c>
      <c r="X37" s="9" t="inlineStr">
        <is>
          <t>OUI</t>
        </is>
      </c>
    </row>
    <row r="38">
      <c r="A38" s="6" t="n">
        <v>46048</v>
      </c>
      <c r="B38" s="6" t="n">
        <v>46048</v>
      </c>
      <c r="C38" s="7">
        <f>IF(B38="","",MONTH(B38))</f>
        <v/>
      </c>
      <c r="D38" s="7">
        <f>IF(B38="","",YEAR(B38))</f>
        <v/>
      </c>
      <c r="E38" s="7" t="n">
        <v>2025</v>
      </c>
      <c r="F38" s="214" t="n"/>
      <c r="G38" s="215" t="n"/>
      <c r="H38" s="7" t="inlineStr">
        <is>
          <t>LUX</t>
        </is>
      </c>
      <c r="I38" s="196" t="n">
        <v>-341.88</v>
      </c>
      <c r="J38" s="21" t="n">
        <v>0.17</v>
      </c>
      <c r="K38" s="211" t="n">
        <v>-58.12</v>
      </c>
      <c r="L38" s="211">
        <f>I38+K38</f>
        <v/>
      </c>
      <c r="M38" s="211">
        <f>M37+L38</f>
        <v/>
      </c>
      <c r="N38" s="9" t="inlineStr">
        <is>
          <t>PP</t>
        </is>
      </c>
      <c r="O38" t="inlineStr">
        <is>
          <t>COSTS</t>
        </is>
      </c>
      <c r="P38" s="43" t="n"/>
      <c r="Q38" s="43" t="n"/>
      <c r="S38" t="inlineStr">
        <is>
          <t>Participation Fee 2%</t>
        </is>
      </c>
      <c r="T38" s="56" t="inlineStr">
        <is>
          <t>New Life Sàrl 013/2026</t>
        </is>
      </c>
      <c r="U38" t="inlineStr">
        <is>
          <t>NEW LIFE Sarl</t>
        </is>
      </c>
      <c r="W38" t="inlineStr">
        <is>
          <t>Tubia Silvia</t>
        </is>
      </c>
      <c r="X38" s="9" t="inlineStr">
        <is>
          <t>OUI</t>
        </is>
      </c>
    </row>
    <row r="39">
      <c r="A39" s="6" t="n">
        <v>46048</v>
      </c>
      <c r="B39" s="6" t="n">
        <v>46048</v>
      </c>
      <c r="C39" s="7">
        <f>IF(B39="","",MONTH(B39))</f>
        <v/>
      </c>
      <c r="D39" s="7">
        <f>IF(B39="","",YEAR(B39))</f>
        <v/>
      </c>
      <c r="E39" s="7" t="n">
        <v>2025</v>
      </c>
      <c r="F39" s="214" t="n"/>
      <c r="G39" s="215" t="n"/>
      <c r="H39" s="7" t="inlineStr">
        <is>
          <t>LUX</t>
        </is>
      </c>
      <c r="I39" s="196" t="n">
        <v>-341.88</v>
      </c>
      <c r="J39" s="21" t="n">
        <v>0.17</v>
      </c>
      <c r="K39" s="211" t="n">
        <v>-58.12</v>
      </c>
      <c r="L39" s="211">
        <f>I39+K39</f>
        <v/>
      </c>
      <c r="M39" s="211">
        <f>M38+L39</f>
        <v/>
      </c>
      <c r="N39" s="9" t="inlineStr">
        <is>
          <t>PP</t>
        </is>
      </c>
      <c r="O39" t="inlineStr">
        <is>
          <t>COSTS</t>
        </is>
      </c>
      <c r="P39" s="43" t="n"/>
      <c r="Q39" s="43" t="n"/>
      <c r="S39" t="inlineStr">
        <is>
          <t>Participation Fee 2%</t>
        </is>
      </c>
      <c r="T39" s="56" t="inlineStr">
        <is>
          <t>New Life Sàrl 013/2026</t>
        </is>
      </c>
      <c r="U39" t="inlineStr">
        <is>
          <t>NEW LIFE Sarl</t>
        </is>
      </c>
      <c r="W39" t="inlineStr">
        <is>
          <t>Tubia Edoardo</t>
        </is>
      </c>
      <c r="X39" s="9" t="inlineStr">
        <is>
          <t>OUI</t>
        </is>
      </c>
    </row>
    <row r="40">
      <c r="A40" s="6" t="n">
        <v>46048</v>
      </c>
      <c r="B40" s="6" t="n">
        <v>46048</v>
      </c>
      <c r="C40" s="7">
        <f>IF(B40="","",MONTH(B40))</f>
        <v/>
      </c>
      <c r="D40" s="7">
        <f>IF(B40="","",YEAR(B40))</f>
        <v/>
      </c>
      <c r="E40" s="7" t="n">
        <v>2025</v>
      </c>
      <c r="F40" s="214" t="n"/>
      <c r="G40" s="215" t="n"/>
      <c r="H40" s="7" t="inlineStr">
        <is>
          <t>LUX</t>
        </is>
      </c>
      <c r="I40" s="196" t="n">
        <v>-341.88</v>
      </c>
      <c r="J40" s="21" t="n">
        <v>0.17</v>
      </c>
      <c r="K40" s="211" t="n">
        <v>-58.12</v>
      </c>
      <c r="L40" s="211">
        <f>I40+K40</f>
        <v/>
      </c>
      <c r="M40" s="211">
        <f>M39+L40</f>
        <v/>
      </c>
      <c r="N40" s="9" t="inlineStr">
        <is>
          <t>PP</t>
        </is>
      </c>
      <c r="O40" t="inlineStr">
        <is>
          <t>COSTS</t>
        </is>
      </c>
      <c r="P40" s="43" t="n"/>
      <c r="Q40" s="43" t="n"/>
      <c r="S40" t="inlineStr">
        <is>
          <t>Participation Fee 2%</t>
        </is>
      </c>
      <c r="T40" s="56" t="inlineStr">
        <is>
          <t>New Life Sàrl 013/2026</t>
        </is>
      </c>
      <c r="U40" t="inlineStr">
        <is>
          <t>NEW LIFE Sarl</t>
        </is>
      </c>
      <c r="W40" t="inlineStr">
        <is>
          <t>Bertozzi Stefano</t>
        </is>
      </c>
      <c r="X40" s="9" t="inlineStr">
        <is>
          <t>OUI</t>
        </is>
      </c>
    </row>
    <row r="41">
      <c r="A41" s="6" t="n">
        <v>46048</v>
      </c>
      <c r="B41" s="6" t="n">
        <v>46048</v>
      </c>
      <c r="C41" s="7">
        <f>IF(B41="","",MONTH(B41))</f>
        <v/>
      </c>
      <c r="D41" s="7">
        <f>IF(B41="","",YEAR(B41))</f>
        <v/>
      </c>
      <c r="E41" s="7" t="n">
        <v>2025</v>
      </c>
      <c r="F41" s="214" t="n"/>
      <c r="G41" s="215" t="n"/>
      <c r="H41" s="7" t="inlineStr">
        <is>
          <t>LUX</t>
        </is>
      </c>
      <c r="I41" s="196" t="n">
        <v>-341.88</v>
      </c>
      <c r="J41" s="21" t="n">
        <v>0.17</v>
      </c>
      <c r="K41" s="211" t="n">
        <v>-58.12</v>
      </c>
      <c r="L41" s="211">
        <f>I41+K41</f>
        <v/>
      </c>
      <c r="M41" s="211">
        <f>M40+L41</f>
        <v/>
      </c>
      <c r="N41" s="9" t="inlineStr">
        <is>
          <t>PP</t>
        </is>
      </c>
      <c r="O41" t="inlineStr">
        <is>
          <t>COSTS</t>
        </is>
      </c>
      <c r="P41" s="43" t="n"/>
      <c r="Q41" s="43" t="n"/>
      <c r="S41" t="inlineStr">
        <is>
          <t>Participation Fee 2%</t>
        </is>
      </c>
      <c r="T41" s="56" t="inlineStr">
        <is>
          <t>New Life Sàrl 013/2026</t>
        </is>
      </c>
      <c r="U41" t="inlineStr">
        <is>
          <t>NEW LIFE Sarl</t>
        </is>
      </c>
      <c r="W41" t="inlineStr">
        <is>
          <t>De Miguel Bellvis Maria</t>
        </is>
      </c>
      <c r="X41" s="9" t="inlineStr">
        <is>
          <t>OUI</t>
        </is>
      </c>
    </row>
    <row r="42">
      <c r="A42" s="6" t="n">
        <v>46048</v>
      </c>
      <c r="B42" s="6" t="n">
        <v>46048</v>
      </c>
      <c r="C42" s="7">
        <f>IF(B42="","",MONTH(B42))</f>
        <v/>
      </c>
      <c r="D42" s="7">
        <f>IF(B42="","",YEAR(B42))</f>
        <v/>
      </c>
      <c r="E42" s="7" t="n">
        <v>2025</v>
      </c>
      <c r="F42" s="214" t="n"/>
      <c r="G42" s="215" t="n"/>
      <c r="H42" s="7" t="inlineStr">
        <is>
          <t>LUX</t>
        </is>
      </c>
      <c r="I42" s="196">
        <f>-341.88*2</f>
        <v/>
      </c>
      <c r="J42" s="21" t="n">
        <v>0.17</v>
      </c>
      <c r="K42" s="211" t="n">
        <v>-116.24</v>
      </c>
      <c r="L42" s="211">
        <f>I42+K42</f>
        <v/>
      </c>
      <c r="M42" s="211">
        <f>M41+L42</f>
        <v/>
      </c>
      <c r="N42" s="9" t="inlineStr">
        <is>
          <t>PP</t>
        </is>
      </c>
      <c r="O42" t="inlineStr">
        <is>
          <t>COSTS</t>
        </is>
      </c>
      <c r="P42" s="43" t="n"/>
      <c r="Q42" s="43" t="n"/>
      <c r="S42" t="inlineStr">
        <is>
          <t>Participation Fee 2%</t>
        </is>
      </c>
      <c r="T42" s="56" t="inlineStr">
        <is>
          <t>New Life Sàrl 013/2026</t>
        </is>
      </c>
      <c r="U42" t="inlineStr">
        <is>
          <t>NEW LIFE Sarl</t>
        </is>
      </c>
      <c r="W42" t="inlineStr">
        <is>
          <t>Desiderio Salvatore</t>
        </is>
      </c>
      <c r="X42" s="9" t="inlineStr">
        <is>
          <t>OUI</t>
        </is>
      </c>
    </row>
    <row r="43">
      <c r="A43" s="6" t="n">
        <v>46048</v>
      </c>
      <c r="B43" s="6" t="n">
        <v>46048</v>
      </c>
      <c r="C43" s="7">
        <f>IF(B43="","",MONTH(B43))</f>
        <v/>
      </c>
      <c r="D43" s="7">
        <f>IF(B43="","",YEAR(B43))</f>
        <v/>
      </c>
      <c r="E43" s="7" t="n">
        <v>2025</v>
      </c>
      <c r="F43" s="214" t="n"/>
      <c r="G43" s="215" t="n"/>
      <c r="H43" s="7" t="inlineStr">
        <is>
          <t>LUX</t>
        </is>
      </c>
      <c r="I43" s="196" t="n">
        <v>-341.88</v>
      </c>
      <c r="J43" s="21" t="n">
        <v>0.17</v>
      </c>
      <c r="K43" s="211" t="n">
        <v>-58.12</v>
      </c>
      <c r="L43" s="211">
        <f>I43+K43</f>
        <v/>
      </c>
      <c r="M43" s="211">
        <f>M42+L43</f>
        <v/>
      </c>
      <c r="N43" s="9" t="inlineStr">
        <is>
          <t>PP</t>
        </is>
      </c>
      <c r="O43" t="inlineStr">
        <is>
          <t>COSTS</t>
        </is>
      </c>
      <c r="P43" s="43" t="n"/>
      <c r="Q43" s="43" t="n"/>
      <c r="S43" t="inlineStr">
        <is>
          <t>Participation Fee 2%</t>
        </is>
      </c>
      <c r="T43" s="56" t="inlineStr">
        <is>
          <t>New Life Sàrl 013/2026</t>
        </is>
      </c>
      <c r="U43" t="inlineStr">
        <is>
          <t>NEW LIFE Sarl</t>
        </is>
      </c>
      <c r="W43" t="inlineStr">
        <is>
          <t>Tubia Enrico</t>
        </is>
      </c>
      <c r="X43" s="9" t="inlineStr">
        <is>
          <t>OUI</t>
        </is>
      </c>
    </row>
    <row r="44">
      <c r="A44" s="6" t="n">
        <v>46048</v>
      </c>
      <c r="B44" s="6" t="n">
        <v>46048</v>
      </c>
      <c r="C44" s="7">
        <f>IF(B44="","",MONTH(B44))</f>
        <v/>
      </c>
      <c r="D44" s="7">
        <f>IF(B44="","",YEAR(B44))</f>
        <v/>
      </c>
      <c r="E44" s="7" t="n">
        <v>2025</v>
      </c>
      <c r="F44" s="214" t="n"/>
      <c r="G44" s="215" t="n"/>
      <c r="H44" s="7" t="inlineStr">
        <is>
          <t>LUX</t>
        </is>
      </c>
      <c r="I44" s="196" t="n">
        <v>-341.88</v>
      </c>
      <c r="J44" s="21" t="n">
        <v>0.17</v>
      </c>
      <c r="K44" s="211" t="n">
        <v>-58.12</v>
      </c>
      <c r="L44" s="211">
        <f>I44+K44</f>
        <v/>
      </c>
      <c r="M44" s="211">
        <f>M43+L44</f>
        <v/>
      </c>
      <c r="N44" s="9" t="inlineStr">
        <is>
          <t>PP</t>
        </is>
      </c>
      <c r="O44" t="inlineStr">
        <is>
          <t>COSTS</t>
        </is>
      </c>
      <c r="P44" s="43" t="n"/>
      <c r="Q44" s="43" t="n"/>
      <c r="S44" t="inlineStr">
        <is>
          <t>Participation Fee 2%</t>
        </is>
      </c>
      <c r="T44" s="56" t="inlineStr">
        <is>
          <t>New Life Sàrl 013/2026</t>
        </is>
      </c>
      <c r="U44" t="inlineStr">
        <is>
          <t>NEW LIFE Sarl</t>
        </is>
      </c>
      <c r="W44" t="inlineStr">
        <is>
          <t>Zaniboni Elisa</t>
        </is>
      </c>
      <c r="X44" s="9" t="inlineStr">
        <is>
          <t>OUI</t>
        </is>
      </c>
    </row>
    <row r="45">
      <c r="A45" s="6" t="n">
        <v>46048</v>
      </c>
      <c r="B45" s="6" t="n">
        <v>46048</v>
      </c>
      <c r="C45" s="7">
        <f>IF(B45="","",MONTH(B45))</f>
        <v/>
      </c>
      <c r="D45" s="7">
        <f>IF(B45="","",YEAR(B45))</f>
        <v/>
      </c>
      <c r="E45" s="7" t="n">
        <v>2025</v>
      </c>
      <c r="F45" s="214" t="n"/>
      <c r="G45" s="215" t="n"/>
      <c r="H45" s="7" t="inlineStr">
        <is>
          <t>LUX</t>
        </is>
      </c>
      <c r="I45" s="196" t="n">
        <v>-341.88</v>
      </c>
      <c r="J45" s="21" t="n">
        <v>0.17</v>
      </c>
      <c r="K45" s="211" t="n">
        <v>-58.12</v>
      </c>
      <c r="L45" s="211">
        <f>I45+K45</f>
        <v/>
      </c>
      <c r="M45" s="211">
        <f>M44+L45</f>
        <v/>
      </c>
      <c r="N45" s="9" t="inlineStr">
        <is>
          <t>PP</t>
        </is>
      </c>
      <c r="O45" t="inlineStr">
        <is>
          <t>COSTS</t>
        </is>
      </c>
      <c r="P45" s="43" t="n"/>
      <c r="Q45" s="43" t="n"/>
      <c r="S45" t="inlineStr">
        <is>
          <t>Participation Fee 2%</t>
        </is>
      </c>
      <c r="T45" s="56" t="inlineStr">
        <is>
          <t>New Life Sàrl 013/2026</t>
        </is>
      </c>
      <c r="U45" t="inlineStr">
        <is>
          <t>NEW LIFE Sarl</t>
        </is>
      </c>
      <c r="W45" t="inlineStr">
        <is>
          <t>Zaniboni Greta</t>
        </is>
      </c>
      <c r="X45" s="9" t="inlineStr">
        <is>
          <t>OUI</t>
        </is>
      </c>
    </row>
    <row r="46">
      <c r="A46" s="6" t="n">
        <v>46048</v>
      </c>
      <c r="B46" s="6" t="n">
        <v>46048</v>
      </c>
      <c r="C46" s="7">
        <f>IF(B46="","",MONTH(B46))</f>
        <v/>
      </c>
      <c r="D46" s="7">
        <f>IF(B46="","",YEAR(B46))</f>
        <v/>
      </c>
      <c r="E46" s="7" t="n">
        <v>2025</v>
      </c>
      <c r="F46" s="214" t="n"/>
      <c r="G46" s="215" t="n"/>
      <c r="H46" s="7" t="inlineStr">
        <is>
          <t>LUX</t>
        </is>
      </c>
      <c r="I46" s="196">
        <f>-SUM(I37:I45)</f>
        <v/>
      </c>
      <c r="J46" s="21" t="n">
        <v>0.17</v>
      </c>
      <c r="K46" s="211" t="n">
        <v>581.2</v>
      </c>
      <c r="L46" s="211">
        <f>I46+K46</f>
        <v/>
      </c>
      <c r="M46" s="211">
        <f>M45+L46</f>
        <v/>
      </c>
      <c r="N46" s="9" t="inlineStr">
        <is>
          <t>PP</t>
        </is>
      </c>
      <c r="O46" t="inlineStr">
        <is>
          <t>COSTS</t>
        </is>
      </c>
      <c r="P46" s="43" t="n"/>
      <c r="Q46" s="43" t="n"/>
      <c r="S46" t="inlineStr">
        <is>
          <t>Participation Fee 2%</t>
        </is>
      </c>
      <c r="T46" s="56" t="inlineStr">
        <is>
          <t>New Life Sàrl 013/2026</t>
        </is>
      </c>
      <c r="U46" t="inlineStr">
        <is>
          <t>NEW LIFE Sarl</t>
        </is>
      </c>
      <c r="W46" t="inlineStr">
        <is>
          <t>NEW LIFE Sàrl</t>
        </is>
      </c>
      <c r="X46" s="9" t="inlineStr">
        <is>
          <t>OUI</t>
        </is>
      </c>
    </row>
    <row r="47">
      <c r="A47" s="6" t="n">
        <v>46048</v>
      </c>
      <c r="B47" s="6" t="n">
        <v>46048</v>
      </c>
      <c r="C47" s="7">
        <f>IF(B47="","",MONTH(B47))</f>
        <v/>
      </c>
      <c r="D47" s="7">
        <f>IF(B47="","",YEAR(B47))</f>
        <v/>
      </c>
      <c r="E47" s="7" t="n">
        <v>2025</v>
      </c>
      <c r="F47" s="214" t="n"/>
      <c r="G47" s="215" t="n"/>
      <c r="H47" s="7" t="inlineStr">
        <is>
          <t>LUX</t>
        </is>
      </c>
      <c r="I47" s="196">
        <f>-I46</f>
        <v/>
      </c>
      <c r="J47" s="21" t="n">
        <v>0.17</v>
      </c>
      <c r="K47" s="211" t="n">
        <v>-581.2</v>
      </c>
      <c r="L47" s="211">
        <f>I47+K47</f>
        <v/>
      </c>
      <c r="M47" s="211">
        <f>M46+L47</f>
        <v/>
      </c>
      <c r="N47" s="9" t="inlineStr">
        <is>
          <t>PP</t>
        </is>
      </c>
      <c r="O47" t="inlineStr">
        <is>
          <t>COSTS</t>
        </is>
      </c>
      <c r="P47" s="43" t="n"/>
      <c r="Q47" s="43" t="n"/>
      <c r="S47" t="inlineStr">
        <is>
          <t>Participation Fee 2%</t>
        </is>
      </c>
      <c r="T47" s="56" t="inlineStr">
        <is>
          <t>New Life Sàrl 013/2026</t>
        </is>
      </c>
      <c r="U47" t="inlineStr">
        <is>
          <t>NEW LIFE Sarl</t>
        </is>
      </c>
      <c r="W47" t="inlineStr">
        <is>
          <t>Green Enerbras One SCSp</t>
        </is>
      </c>
      <c r="X47" s="9" t="inlineStr">
        <is>
          <t>OUI</t>
        </is>
      </c>
    </row>
    <row r="48">
      <c r="A48" s="6" t="n">
        <v>46129</v>
      </c>
      <c r="B48" s="6" t="n">
        <v>46129</v>
      </c>
      <c r="C48" s="7">
        <f>IF(B48="","",MONTH(B48))</f>
        <v/>
      </c>
      <c r="D48" s="7">
        <f>IF(B48="","",YEAR(B48))</f>
        <v/>
      </c>
      <c r="E48" s="7" t="n">
        <v>2026</v>
      </c>
      <c r="F48" s="214" t="n"/>
      <c r="G48" s="215" t="n"/>
      <c r="H48" s="7" t="inlineStr">
        <is>
          <t>LUX</t>
        </is>
      </c>
      <c r="I48" s="211" t="n">
        <v>-250</v>
      </c>
      <c r="L48" s="211">
        <f>I48</f>
        <v/>
      </c>
      <c r="M48" s="211">
        <f>M47+L48</f>
        <v/>
      </c>
      <c r="N48" s="9" t="inlineStr">
        <is>
          <t>PP</t>
        </is>
      </c>
      <c r="O48" t="inlineStr">
        <is>
          <t>COSTS</t>
        </is>
      </c>
      <c r="Q48" t="inlineStr">
        <is>
          <t>61333 - FRAIS DE COMPTE BANQUE</t>
        </is>
      </c>
      <c r="S48" t="inlineStr">
        <is>
          <t>Frais bancaires</t>
        </is>
      </c>
      <c r="U48" t="inlineStr">
        <is>
          <t>Banque de Luxembourg</t>
        </is>
      </c>
      <c r="V48" t="inlineStr">
        <is>
          <t>BDL</t>
        </is>
      </c>
      <c r="W48" t="inlineStr">
        <is>
          <t>Green Enerbras One SCSp</t>
        </is>
      </c>
      <c r="X48" s="9" t="inlineStr">
        <is>
          <t>OUI</t>
        </is>
      </c>
    </row>
    <row r="49">
      <c r="A49" s="6" t="n">
        <v>46139</v>
      </c>
      <c r="B49" s="6" t="n">
        <v>46139</v>
      </c>
      <c r="C49" s="7">
        <f>IF(B49="","",MONTH(B49))</f>
        <v/>
      </c>
      <c r="D49" s="7">
        <f>IF(B49="","",YEAR(B49))</f>
        <v/>
      </c>
      <c r="E49" s="7" t="n">
        <v>2025</v>
      </c>
      <c r="F49" s="214" t="n"/>
      <c r="G49" s="215" t="n"/>
      <c r="H49" s="7" t="inlineStr">
        <is>
          <t>LUX</t>
        </is>
      </c>
      <c r="I49" s="211" t="n">
        <v>-15</v>
      </c>
      <c r="J49" s="21" t="n">
        <v>0.17</v>
      </c>
      <c r="K49" s="211">
        <f>I49*J49</f>
        <v/>
      </c>
      <c r="L49" s="211">
        <f>I49</f>
        <v/>
      </c>
      <c r="M49" s="211">
        <f>M48+L49</f>
        <v/>
      </c>
      <c r="N49" s="9" t="inlineStr">
        <is>
          <t>PP</t>
        </is>
      </c>
      <c r="O49" t="inlineStr">
        <is>
          <t>COSTS</t>
        </is>
      </c>
      <c r="Q49" t="inlineStr">
        <is>
          <t>6135000 - FRAIS D'ACTES NOTARIES ET ASSIMILES</t>
        </is>
      </c>
      <c r="S49" t="inlineStr">
        <is>
          <t>Inscription au RBE des Beneficiaires effectifs</t>
        </is>
      </c>
      <c r="T49" s="56" t="inlineStr">
        <is>
          <t>008-2025</t>
        </is>
      </c>
      <c r="U49" t="inlineStr">
        <is>
          <t>R.B.E. Luxembourg</t>
        </is>
      </c>
      <c r="W49" t="inlineStr">
        <is>
          <t>Green Enerbras One SCSp</t>
        </is>
      </c>
      <c r="X49" s="9" t="inlineStr">
        <is>
          <t>OUI</t>
        </is>
      </c>
      <c r="Y49" s="9" t="inlineStr">
        <is>
          <t>X</t>
        </is>
      </c>
    </row>
    <row r="50">
      <c r="A50" s="253" t="n">
        <v>46139</v>
      </c>
      <c r="B50" s="253" t="n">
        <v>46139</v>
      </c>
      <c r="C50">
        <f>IF(B50="","",MONTH(B50))</f>
        <v/>
      </c>
      <c r="D50">
        <f>IF(B50="","",YEAR(B50))</f>
        <v/>
      </c>
      <c r="E50" t="n">
        <v>2025</v>
      </c>
      <c r="H50" t="inlineStr">
        <is>
          <t>LUX</t>
        </is>
      </c>
      <c r="I50" t="n">
        <v>-2.55</v>
      </c>
      <c r="J50" t="n">
        <v>0</v>
      </c>
      <c r="K50" t="n">
        <v>0</v>
      </c>
      <c r="L50">
        <f>I50</f>
        <v/>
      </c>
      <c r="M50">
        <f>M49+L50</f>
        <v/>
      </c>
      <c r="N50" t="inlineStr">
        <is>
          <t>PP</t>
        </is>
      </c>
      <c r="O50" t="inlineStr">
        <is>
          <t>COSTS</t>
        </is>
      </c>
      <c r="Q50" t="inlineStr">
        <is>
          <t>6511200 - TVA NON RECUPERABLE</t>
        </is>
      </c>
      <c r="S50" t="inlineStr">
        <is>
          <t>TVA non recuperabile - Inscription au RBE</t>
        </is>
      </c>
      <c r="T50" t="inlineStr">
        <is>
          <t>008-2025</t>
        </is>
      </c>
      <c r="U50" t="inlineStr">
        <is>
          <t>R.B.E. Luxembourg</t>
        </is>
      </c>
      <c r="W50" t="inlineStr">
        <is>
          <t>Green Enerbras One SCSp</t>
        </is>
      </c>
      <c r="X50" t="inlineStr">
        <is>
          <t>OUI</t>
        </is>
      </c>
      <c r="Y50" t="inlineStr">
        <is>
          <t>X</t>
        </is>
      </c>
    </row>
    <row r="51">
      <c r="A51" s="6" t="n">
        <v>46139</v>
      </c>
      <c r="B51" s="6" t="n">
        <v>46139</v>
      </c>
      <c r="C51" s="7">
        <f>IF(B51="","",MONTH(B51))</f>
        <v/>
      </c>
      <c r="D51" s="7">
        <f>IF(B51="","",YEAR(B51))</f>
        <v/>
      </c>
      <c r="E51" s="7" t="n">
        <v>2025</v>
      </c>
      <c r="F51" s="214" t="n"/>
      <c r="G51" s="215" t="n"/>
      <c r="H51" s="7" t="inlineStr">
        <is>
          <t>LUX</t>
        </is>
      </c>
      <c r="I51" s="211" t="n">
        <v>17.55</v>
      </c>
      <c r="J51" s="21" t="n"/>
      <c r="K51" s="211" t="n"/>
      <c r="L51" s="211">
        <f>I51</f>
        <v/>
      </c>
      <c r="M51" s="211">
        <f>M50+L51</f>
        <v/>
      </c>
      <c r="N51" s="9" t="inlineStr">
        <is>
          <t>PP</t>
        </is>
      </c>
      <c r="O51" t="inlineStr">
        <is>
          <t>COSTS</t>
        </is>
      </c>
      <c r="Q51" t="inlineStr">
        <is>
          <t>6135000 - FRAIS D'ACTES NOTARIES ET ASSIMILES</t>
        </is>
      </c>
      <c r="S51" t="inlineStr">
        <is>
          <t>Remboursement des Frais</t>
        </is>
      </c>
      <c r="U51" t="inlineStr">
        <is>
          <t>Tubia Edoardo</t>
        </is>
      </c>
      <c r="V51" t="inlineStr">
        <is>
          <t>BDL</t>
        </is>
      </c>
      <c r="W51" t="inlineStr">
        <is>
          <t>Green Enerbras One SCSp</t>
        </is>
      </c>
      <c r="X51" s="9" t="inlineStr">
        <is>
          <t>OUI</t>
        </is>
      </c>
      <c r="Y51" s="9" t="inlineStr">
        <is>
          <t>X</t>
        </is>
      </c>
    </row>
    <row r="52">
      <c r="A52" s="6" t="n">
        <v>46139</v>
      </c>
      <c r="B52" s="6" t="n">
        <v>46139</v>
      </c>
      <c r="C52" s="7">
        <f>IF(B52="","",MONTH(B52))</f>
        <v/>
      </c>
      <c r="D52" s="7">
        <f>IF(B52="","",YEAR(B52))</f>
        <v/>
      </c>
      <c r="E52" s="7" t="n">
        <v>2025</v>
      </c>
      <c r="F52" s="214" t="n"/>
      <c r="G52" s="215" t="n"/>
      <c r="H52" s="7" t="inlineStr">
        <is>
          <t>LUX</t>
        </is>
      </c>
      <c r="I52" s="211">
        <f>-I51</f>
        <v/>
      </c>
      <c r="J52" s="21" t="n"/>
      <c r="K52" s="211" t="n"/>
      <c r="L52" s="211">
        <f>I52</f>
        <v/>
      </c>
      <c r="M52" s="211">
        <f>M51+L52</f>
        <v/>
      </c>
      <c r="N52" s="9" t="inlineStr">
        <is>
          <t>PP</t>
        </is>
      </c>
      <c r="O52" t="inlineStr">
        <is>
          <t>COSTS</t>
        </is>
      </c>
      <c r="Q52" t="inlineStr">
        <is>
          <t>6135000 - FRAIS D'ACTES NOTARIES ET ASSIMILES</t>
        </is>
      </c>
      <c r="S52" t="inlineStr">
        <is>
          <t>Remboursement des Frais</t>
        </is>
      </c>
      <c r="U52" t="inlineStr">
        <is>
          <t>Tubia Edoardo</t>
        </is>
      </c>
      <c r="V52" t="inlineStr">
        <is>
          <t>BDL</t>
        </is>
      </c>
      <c r="W52" t="inlineStr">
        <is>
          <t>Green Enerbras One SCSp</t>
        </is>
      </c>
      <c r="X52" s="9" t="inlineStr">
        <is>
          <t>OUI</t>
        </is>
      </c>
      <c r="Y52" s="9" t="inlineStr">
        <is>
          <t>X</t>
        </is>
      </c>
    </row>
    <row r="53">
      <c r="A53" s="6" t="n">
        <v>46149</v>
      </c>
      <c r="B53" s="6" t="n">
        <v>46149</v>
      </c>
      <c r="C53" s="7">
        <f>IF(B53="","",MONTH(B53))</f>
        <v/>
      </c>
      <c r="D53" s="7">
        <f>IF(B53="","",YEAR(B53))</f>
        <v/>
      </c>
      <c r="E53" s="7" t="n">
        <v>2026</v>
      </c>
      <c r="F53" s="214" t="n">
        <v>227258</v>
      </c>
      <c r="G53" s="217">
        <f>F53/-I53</f>
        <v/>
      </c>
      <c r="H53" s="7" t="inlineStr">
        <is>
          <t>LUX</t>
        </is>
      </c>
      <c r="I53" s="211" t="n">
        <v>-40000</v>
      </c>
      <c r="L53" s="211">
        <f>I53</f>
        <v/>
      </c>
      <c r="M53" s="211">
        <f>M52+L53</f>
        <v/>
      </c>
      <c r="N53" s="66" t="inlineStr">
        <is>
          <t>BIL</t>
        </is>
      </c>
      <c r="O53" s="43" t="inlineStr">
        <is>
          <t>IMMOBILISATIONS</t>
        </is>
      </c>
      <c r="P53" s="68" t="inlineStr">
        <is>
          <t>23 - IMMOBILISATIONS FINANCIERES</t>
        </is>
      </c>
      <c r="Q53" s="68" t="inlineStr">
        <is>
          <t>233 - PARTICIPATIONS</t>
        </is>
      </c>
      <c r="R53" s="43" t="n"/>
      <c r="S53" s="43" t="inlineStr">
        <is>
          <t xml:space="preserve">Acquisition de participation </t>
        </is>
      </c>
      <c r="T53" s="67" t="n"/>
      <c r="U53" s="43" t="inlineStr">
        <is>
          <t>TRI STAR ENERBRAS ONE SCP</t>
        </is>
      </c>
      <c r="V53" s="43" t="inlineStr">
        <is>
          <t>BDL</t>
        </is>
      </c>
      <c r="W53" s="43" t="inlineStr">
        <is>
          <t>Green Enerbras One SCSp</t>
        </is>
      </c>
      <c r="X53" s="9" t="inlineStr">
        <is>
          <t>OUI</t>
        </is>
      </c>
    </row>
    <row r="54">
      <c r="A54" s="6" t="n">
        <v>46149</v>
      </c>
      <c r="B54" s="6" t="n">
        <v>46149</v>
      </c>
      <c r="C54" s="7">
        <f>IF(B54="","",MONTH(B54))</f>
        <v/>
      </c>
      <c r="D54" s="7">
        <f>IF(B54="","",YEAR(B54))</f>
        <v/>
      </c>
      <c r="E54" s="7" t="n">
        <v>2026</v>
      </c>
      <c r="F54" s="214" t="n"/>
      <c r="G54" s="215" t="n"/>
      <c r="H54" s="7" t="inlineStr">
        <is>
          <t>LUX</t>
        </is>
      </c>
      <c r="I54" s="211" t="n">
        <v>-5</v>
      </c>
      <c r="L54" s="211">
        <f>I54</f>
        <v/>
      </c>
      <c r="M54" s="211">
        <f>M53+L54</f>
        <v/>
      </c>
      <c r="N54" s="9" t="inlineStr">
        <is>
          <t>PP</t>
        </is>
      </c>
      <c r="O54" t="inlineStr">
        <is>
          <t>COSTS</t>
        </is>
      </c>
      <c r="Q54" t="inlineStr">
        <is>
          <t>61333 - FRAIS DE COMPTE BANQUE</t>
        </is>
      </c>
      <c r="S54" t="inlineStr">
        <is>
          <t>Frais bancaires</t>
        </is>
      </c>
      <c r="U54" t="inlineStr">
        <is>
          <t>Banque de Luxembourg</t>
        </is>
      </c>
      <c r="V54" t="inlineStr">
        <is>
          <t>BDL</t>
        </is>
      </c>
      <c r="W54" t="inlineStr">
        <is>
          <t>Green Enerbras One SCSp</t>
        </is>
      </c>
      <c r="X54" s="9" t="inlineStr">
        <is>
          <t>OUI</t>
        </is>
      </c>
    </row>
    <row r="55">
      <c r="A55" s="6" t="n">
        <v>46149</v>
      </c>
      <c r="B55" s="6" t="n">
        <v>46149</v>
      </c>
      <c r="C55" s="7">
        <f>IF(B55="","",MONTH(B55))</f>
        <v/>
      </c>
      <c r="D55" s="7">
        <f>IF(B55="","",YEAR(B55))</f>
        <v/>
      </c>
      <c r="E55" s="7" t="n">
        <v>2026</v>
      </c>
      <c r="F55" s="214" t="n"/>
      <c r="G55" s="215" t="n"/>
      <c r="H55" s="7" t="inlineStr">
        <is>
          <t>LUX</t>
        </is>
      </c>
      <c r="I55" s="211" t="n">
        <v>-4</v>
      </c>
      <c r="L55" s="211">
        <f>I55</f>
        <v/>
      </c>
      <c r="M55" s="211">
        <f>M54+L55</f>
        <v/>
      </c>
      <c r="N55" s="9" t="inlineStr">
        <is>
          <t>PP</t>
        </is>
      </c>
      <c r="O55" t="inlineStr">
        <is>
          <t>COSTS</t>
        </is>
      </c>
      <c r="Q55" t="inlineStr">
        <is>
          <t>61333 - FRAIS DE COMPTE BANQUE</t>
        </is>
      </c>
      <c r="S55" t="inlineStr">
        <is>
          <t>Frais bancaires</t>
        </is>
      </c>
      <c r="U55" t="inlineStr">
        <is>
          <t>Banque de Luxembourg</t>
        </is>
      </c>
      <c r="V55" t="inlineStr">
        <is>
          <t>BDL</t>
        </is>
      </c>
      <c r="W55" t="inlineStr">
        <is>
          <t>Green Enerbras One SCSp</t>
        </is>
      </c>
      <c r="X55" s="9" t="inlineStr">
        <is>
          <t>OUI</t>
        </is>
      </c>
    </row>
    <row r="56">
      <c r="A56" s="6" t="n">
        <v>46220</v>
      </c>
      <c r="B56" s="6" t="n">
        <v>46220</v>
      </c>
      <c r="C56" s="7">
        <f>IF(B56="","",MONTH(B56))</f>
        <v/>
      </c>
      <c r="D56" s="7">
        <f>IF(B56="","",YEAR(B56))</f>
        <v/>
      </c>
      <c r="E56" s="7" t="n">
        <v>2026</v>
      </c>
      <c r="F56" s="214" t="n"/>
      <c r="H56" s="7" t="inlineStr">
        <is>
          <t>LUX</t>
        </is>
      </c>
      <c r="I56" s="211" t="n">
        <v>40000</v>
      </c>
      <c r="L56" s="211">
        <f>I56</f>
        <v/>
      </c>
      <c r="M56" s="211">
        <f>M55+L56</f>
        <v/>
      </c>
      <c r="N56" s="9" t="inlineStr">
        <is>
          <t>BIL</t>
        </is>
      </c>
      <c r="O56" t="inlineStr">
        <is>
          <t>CAPITAUX PROPRES ET PASSIF</t>
        </is>
      </c>
      <c r="P56" t="inlineStr">
        <is>
          <t>A. CAPITAUX PROPRES</t>
        </is>
      </c>
      <c r="Q56" t="inlineStr">
        <is>
          <t>I. CAPITAL SOUSCRIT</t>
        </is>
      </c>
      <c r="S56" t="inlineStr">
        <is>
          <t>1010000 - Capital Souscrit</t>
        </is>
      </c>
      <c r="U56" t="inlineStr">
        <is>
          <t>Sterzi Marco</t>
        </is>
      </c>
      <c r="V56" t="inlineStr">
        <is>
          <t>BDL</t>
        </is>
      </c>
      <c r="W56" t="inlineStr">
        <is>
          <t>Sterzi Marco</t>
        </is>
      </c>
      <c r="X56" s="9" t="inlineStr">
        <is>
          <t>OUI</t>
        </is>
      </c>
    </row>
    <row r="57">
      <c r="A57" s="6" t="n">
        <v>46220</v>
      </c>
      <c r="B57" s="6" t="n">
        <v>46220</v>
      </c>
      <c r="C57" s="7">
        <f>IF(B57="","",MONTH(B57))</f>
        <v/>
      </c>
      <c r="D57" s="7">
        <f>IF(B57="","",YEAR(B57))</f>
        <v/>
      </c>
      <c r="E57" s="7" t="n">
        <v>2026</v>
      </c>
      <c r="F57" s="214" t="n"/>
      <c r="H57" s="7" t="inlineStr">
        <is>
          <t>LUX</t>
        </is>
      </c>
      <c r="I57" s="211" t="n">
        <v>20000</v>
      </c>
      <c r="L57" s="211">
        <f>I57</f>
        <v/>
      </c>
      <c r="M57" s="211">
        <f>M56+L57</f>
        <v/>
      </c>
      <c r="N57" s="9" t="inlineStr">
        <is>
          <t>BIL</t>
        </is>
      </c>
      <c r="O57" t="inlineStr">
        <is>
          <t>CAPITAUX PROPRES ET PASSIF</t>
        </is>
      </c>
      <c r="P57" t="inlineStr">
        <is>
          <t>A. CAPITAUX PROPRES</t>
        </is>
      </c>
      <c r="Q57" t="inlineStr">
        <is>
          <t>I. CAPITAL SOUSCRIT</t>
        </is>
      </c>
      <c r="S57" t="inlineStr">
        <is>
          <t>1010000 - Capital Souscrit</t>
        </is>
      </c>
      <c r="U57" t="inlineStr">
        <is>
          <t>Miletti Giovanni</t>
        </is>
      </c>
      <c r="V57" t="inlineStr">
        <is>
          <t>BDL</t>
        </is>
      </c>
      <c r="W57" t="inlineStr">
        <is>
          <t>Miletti Giovanni</t>
        </is>
      </c>
      <c r="X57" s="9" t="inlineStr">
        <is>
          <t>OUI</t>
        </is>
      </c>
    </row>
    <row r="58">
      <c r="A58" s="6" t="n">
        <v>46220</v>
      </c>
      <c r="B58" s="6" t="n">
        <v>46220</v>
      </c>
      <c r="C58" s="7">
        <f>IF(B58="","",MONTH(B58))</f>
        <v/>
      </c>
      <c r="D58" s="7">
        <f>IF(B58="","",YEAR(B58))</f>
        <v/>
      </c>
      <c r="E58" s="7" t="n">
        <v>2026</v>
      </c>
      <c r="F58" s="214" t="n"/>
      <c r="G58" s="215" t="n"/>
      <c r="H58" s="7" t="inlineStr">
        <is>
          <t>LUX</t>
        </is>
      </c>
      <c r="I58" s="196" t="n">
        <v>-683.76</v>
      </c>
      <c r="J58" s="21" t="n">
        <v>0.17</v>
      </c>
      <c r="K58" s="211" t="n">
        <v>-116.24</v>
      </c>
      <c r="L58" s="211">
        <f>I58+K58</f>
        <v/>
      </c>
      <c r="M58" s="211">
        <f>M57+L58</f>
        <v/>
      </c>
      <c r="N58" s="9" t="inlineStr">
        <is>
          <t>PP</t>
        </is>
      </c>
      <c r="O58" t="inlineStr">
        <is>
          <t>COSTS</t>
        </is>
      </c>
      <c r="P58" s="43" t="n"/>
      <c r="Q58" s="43" t="n"/>
      <c r="S58" t="inlineStr">
        <is>
          <t>Participation Fee 2%</t>
        </is>
      </c>
      <c r="T58" s="56" t="inlineStr">
        <is>
          <t>New Life Sàrl 014/2026</t>
        </is>
      </c>
      <c r="U58" t="inlineStr">
        <is>
          <t>NEW LIFE Sarl</t>
        </is>
      </c>
      <c r="W58" t="inlineStr">
        <is>
          <t>Sterzi Marco</t>
        </is>
      </c>
      <c r="X58" s="9" t="inlineStr">
        <is>
          <t>OUI</t>
        </is>
      </c>
    </row>
    <row r="59">
      <c r="A59" s="6" t="n">
        <v>46220</v>
      </c>
      <c r="B59" s="6" t="n">
        <v>46220</v>
      </c>
      <c r="C59" s="7">
        <f>IF(B59="","",MONTH(B59))</f>
        <v/>
      </c>
      <c r="D59" s="7">
        <f>IF(B59="","",YEAR(B59))</f>
        <v/>
      </c>
      <c r="E59" s="7" t="n">
        <v>2026</v>
      </c>
      <c r="F59" s="214" t="n"/>
      <c r="G59" s="215" t="n"/>
      <c r="H59" s="7" t="inlineStr">
        <is>
          <t>LUX</t>
        </is>
      </c>
      <c r="I59" s="196" t="n">
        <v>-341.88</v>
      </c>
      <c r="J59" s="21" t="n">
        <v>0.17</v>
      </c>
      <c r="K59" s="211" t="n">
        <v>-58.12</v>
      </c>
      <c r="L59" s="211">
        <f>I59+K59</f>
        <v/>
      </c>
      <c r="M59" s="211">
        <f>M58+L59</f>
        <v/>
      </c>
      <c r="N59" s="9" t="inlineStr">
        <is>
          <t>PP</t>
        </is>
      </c>
      <c r="O59" t="inlineStr">
        <is>
          <t>COSTS</t>
        </is>
      </c>
      <c r="P59" s="43" t="n"/>
      <c r="Q59" s="43" t="n"/>
      <c r="S59" t="inlineStr">
        <is>
          <t>Participation Fee 2%</t>
        </is>
      </c>
      <c r="T59" s="56" t="inlineStr">
        <is>
          <t>New Life Sàrl 014/2026</t>
        </is>
      </c>
      <c r="U59" t="inlineStr">
        <is>
          <t>NEW LIFE Sarl</t>
        </is>
      </c>
      <c r="W59" t="inlineStr">
        <is>
          <t>Miletti Giovanni</t>
        </is>
      </c>
      <c r="X59" s="9" t="inlineStr">
        <is>
          <t>OUI</t>
        </is>
      </c>
    </row>
    <row r="60">
      <c r="A60" s="6" t="n">
        <v>46220</v>
      </c>
      <c r="B60" s="6" t="n">
        <v>46220</v>
      </c>
      <c r="C60" s="7">
        <f>IF(B60="","",MONTH(B60))</f>
        <v/>
      </c>
      <c r="D60" s="7">
        <f>IF(B60="","",YEAR(B60))</f>
        <v/>
      </c>
      <c r="E60" s="7" t="n">
        <v>2026</v>
      </c>
      <c r="F60" s="214" t="n"/>
      <c r="G60" s="215" t="n"/>
      <c r="H60" s="7" t="inlineStr">
        <is>
          <t>LUX</t>
        </is>
      </c>
      <c r="I60" s="196">
        <f>-SUM(I58:I59)</f>
        <v/>
      </c>
      <c r="J60" s="21" t="n">
        <v>0.17</v>
      </c>
      <c r="K60" s="211" t="n">
        <v>174.36</v>
      </c>
      <c r="L60" s="211">
        <f>I60+K60</f>
        <v/>
      </c>
      <c r="M60" s="211">
        <f>M59+L60</f>
        <v/>
      </c>
      <c r="N60" s="9" t="inlineStr">
        <is>
          <t>PP</t>
        </is>
      </c>
      <c r="O60" t="inlineStr">
        <is>
          <t>COSTS</t>
        </is>
      </c>
      <c r="P60" s="43" t="n"/>
      <c r="Q60" s="43" t="n"/>
      <c r="S60" t="inlineStr">
        <is>
          <t>Participation Fee 2%</t>
        </is>
      </c>
      <c r="T60" s="56" t="inlineStr">
        <is>
          <t>New Life Sàrl 014/2026</t>
        </is>
      </c>
      <c r="U60" t="inlineStr">
        <is>
          <t>NEW LIFE Sarl</t>
        </is>
      </c>
      <c r="W60" t="inlineStr">
        <is>
          <t>NEW LIFE Sàrl</t>
        </is>
      </c>
      <c r="X60" s="9" t="inlineStr">
        <is>
          <t>OUI</t>
        </is>
      </c>
    </row>
    <row r="61">
      <c r="A61" s="6" t="n">
        <v>46220</v>
      </c>
      <c r="B61" s="6" t="n">
        <v>46220</v>
      </c>
      <c r="C61" s="7">
        <f>IF(B61="","",MONTH(B61))</f>
        <v/>
      </c>
      <c r="D61" s="7">
        <f>IF(B61="","",YEAR(B61))</f>
        <v/>
      </c>
      <c r="E61" s="7" t="n">
        <v>2026</v>
      </c>
      <c r="F61" s="214" t="n"/>
      <c r="G61" s="215" t="n"/>
      <c r="H61" s="7" t="inlineStr">
        <is>
          <t>LUX</t>
        </is>
      </c>
      <c r="I61" s="196">
        <f>-I60</f>
        <v/>
      </c>
      <c r="J61" s="21" t="n">
        <v>0.17</v>
      </c>
      <c r="K61" s="211" t="n">
        <v>-174.36</v>
      </c>
      <c r="L61" s="211">
        <f>I61+K61</f>
        <v/>
      </c>
      <c r="M61" s="211">
        <f>M60+L61</f>
        <v/>
      </c>
      <c r="N61" s="9" t="inlineStr">
        <is>
          <t>PP</t>
        </is>
      </c>
      <c r="O61" t="inlineStr">
        <is>
          <t>COSTS</t>
        </is>
      </c>
      <c r="P61" s="43" t="n"/>
      <c r="Q61" s="43" t="n"/>
      <c r="S61" t="inlineStr">
        <is>
          <t>Participation Fee 2%</t>
        </is>
      </c>
      <c r="T61" s="56" t="inlineStr">
        <is>
          <t>New Life Sàrl 014/2026</t>
        </is>
      </c>
      <c r="U61" t="inlineStr">
        <is>
          <t>NEW LIFE Sarl</t>
        </is>
      </c>
      <c r="W61" t="inlineStr">
        <is>
          <t>Green Enerbras One SCSp</t>
        </is>
      </c>
      <c r="X61" s="9" t="inlineStr">
        <is>
          <t>OUI</t>
        </is>
      </c>
    </row>
    <row r="62">
      <c r="A62" s="6" t="n">
        <v>46224</v>
      </c>
      <c r="B62" s="6" t="n">
        <v>46224</v>
      </c>
      <c r="C62" s="7">
        <f>IF(B62="","",MONTH(B62))</f>
        <v/>
      </c>
      <c r="D62" s="7">
        <f>IF(B62="","",YEAR(B62))</f>
        <v/>
      </c>
      <c r="E62" s="7" t="n">
        <v>2026</v>
      </c>
      <c r="F62" s="214" t="n"/>
      <c r="G62" s="215" t="n"/>
      <c r="H62" s="7" t="inlineStr">
        <is>
          <t>LUX</t>
        </is>
      </c>
      <c r="I62" s="211" t="n">
        <v>-250</v>
      </c>
      <c r="L62" s="211">
        <f>I62</f>
        <v/>
      </c>
      <c r="M62" s="211">
        <f>M61+L62</f>
        <v/>
      </c>
      <c r="N62" s="9" t="inlineStr">
        <is>
          <t>PP</t>
        </is>
      </c>
      <c r="O62" t="inlineStr">
        <is>
          <t>COSTS</t>
        </is>
      </c>
      <c r="Q62" t="inlineStr">
        <is>
          <t>61333 - FRAIS DE COMPTE BANQUE</t>
        </is>
      </c>
      <c r="S62" t="inlineStr">
        <is>
          <t>Frais bancaires</t>
        </is>
      </c>
      <c r="U62" t="inlineStr">
        <is>
          <t>Banque de Luxembourg</t>
        </is>
      </c>
      <c r="V62" t="inlineStr">
        <is>
          <t>BDL</t>
        </is>
      </c>
      <c r="W62" t="inlineStr">
        <is>
          <t>Green Enerbras One SCSp</t>
        </is>
      </c>
      <c r="X62" s="9" t="inlineStr">
        <is>
          <t>OUI</t>
        </is>
      </c>
    </row>
    <row r="63">
      <c r="A63" s="6" t="n">
        <v>46230</v>
      </c>
      <c r="B63" s="6" t="n">
        <v>46230</v>
      </c>
      <c r="C63" s="7">
        <f>IF(B63="","",MONTH(B63))</f>
        <v/>
      </c>
      <c r="D63" s="7">
        <f>IF(B63="","",YEAR(B63))</f>
        <v/>
      </c>
      <c r="E63" s="7" t="n">
        <v>2026</v>
      </c>
      <c r="F63" s="214" t="n">
        <v>287356</v>
      </c>
      <c r="G63" s="217">
        <f>F63/-I63</f>
        <v/>
      </c>
      <c r="H63" s="7" t="inlineStr">
        <is>
          <t>LUX</t>
        </is>
      </c>
      <c r="I63" s="211" t="n">
        <v>-50000</v>
      </c>
      <c r="L63" s="211">
        <f>I63</f>
        <v/>
      </c>
      <c r="M63" s="211">
        <f>M62+L63</f>
        <v/>
      </c>
      <c r="N63" s="66" t="inlineStr">
        <is>
          <t>BIL</t>
        </is>
      </c>
      <c r="O63" s="43" t="inlineStr">
        <is>
          <t>IMMOBILISATIONS</t>
        </is>
      </c>
      <c r="P63" s="68" t="inlineStr">
        <is>
          <t>23 - IMMOBILISATIONS FINANCIERES</t>
        </is>
      </c>
      <c r="Q63" s="68" t="inlineStr">
        <is>
          <t>233 - PARTICIPATIONS</t>
        </is>
      </c>
      <c r="R63" s="43" t="n"/>
      <c r="S63" s="43" t="inlineStr">
        <is>
          <t xml:space="preserve">Acquisition de participation </t>
        </is>
      </c>
      <c r="T63" s="67" t="n"/>
      <c r="U63" s="43" t="inlineStr">
        <is>
          <t>TRI STAR ENERBRAS ONE SCP</t>
        </is>
      </c>
      <c r="V63" s="43" t="inlineStr">
        <is>
          <t>BDL</t>
        </is>
      </c>
      <c r="W63" s="43" t="inlineStr">
        <is>
          <t>Green Enerbras One SCSp</t>
        </is>
      </c>
      <c r="X63" s="9" t="inlineStr">
        <is>
          <t>OUI</t>
        </is>
      </c>
    </row>
    <row r="64" ht="15.75" customHeight="1" thickBot="1">
      <c r="A64" s="6" t="n">
        <v>46230</v>
      </c>
      <c r="B64" s="6" t="n">
        <v>46230</v>
      </c>
      <c r="C64" s="7">
        <f>IF(B64="","",MONTH(B64))</f>
        <v/>
      </c>
      <c r="D64" s="7">
        <f>IF(B64="","",YEAR(B64))</f>
        <v/>
      </c>
      <c r="E64" s="7" t="n">
        <v>2026</v>
      </c>
      <c r="F64" s="214" t="n"/>
      <c r="G64" s="215" t="n"/>
      <c r="H64" s="7" t="inlineStr">
        <is>
          <t>LUX</t>
        </is>
      </c>
      <c r="I64" s="211" t="n">
        <v>-25</v>
      </c>
      <c r="L64" s="211">
        <f>I64</f>
        <v/>
      </c>
      <c r="M64" s="211">
        <f>M63+L64</f>
        <v/>
      </c>
      <c r="N64" s="9" t="inlineStr">
        <is>
          <t>PP</t>
        </is>
      </c>
      <c r="O64" t="inlineStr">
        <is>
          <t>COSTS</t>
        </is>
      </c>
      <c r="Q64" t="inlineStr">
        <is>
          <t>61333 - FRAIS DE COMPTE BANQUE</t>
        </is>
      </c>
      <c r="S64" t="inlineStr">
        <is>
          <t>Frais bancaires</t>
        </is>
      </c>
      <c r="U64" t="inlineStr">
        <is>
          <t>Banque de Luxembourg</t>
        </is>
      </c>
      <c r="V64" t="inlineStr">
        <is>
          <t>BDL</t>
        </is>
      </c>
      <c r="W64" t="inlineStr">
        <is>
          <t>Green Enerbras One SCSp</t>
        </is>
      </c>
      <c r="X64" s="9" t="inlineStr">
        <is>
          <t>OUI</t>
        </is>
      </c>
    </row>
    <row r="65" ht="16.5" customHeight="1" thickBot="1">
      <c r="F65" s="214" t="n"/>
      <c r="L65" s="6" t="n"/>
      <c r="M65" s="68" t="n"/>
      <c r="N65" s="69" t="n"/>
      <c r="O65" s="68" t="n"/>
      <c r="P65" s="68" t="n"/>
      <c r="Q65" s="68" t="n"/>
      <c r="R65" s="70" t="n"/>
    </row>
    <row r="66">
      <c r="F66" s="214" t="n"/>
    </row>
    <row r="67">
      <c r="F67" s="221">
        <f>SUM(F2:F66)</f>
        <v/>
      </c>
      <c r="G67" s="222">
        <f>F67/-I67</f>
        <v/>
      </c>
      <c r="H67" s="187" t="n"/>
      <c r="I67" s="223">
        <f>I21+I27+I33+I53+I63</f>
        <v/>
      </c>
      <c r="L67" s="224">
        <f>SUBTOTAL(9,L2:L66)</f>
        <v/>
      </c>
      <c r="M67">
        <f>M66+L67</f>
        <v/>
      </c>
    </row>
    <row r="68">
      <c r="F68" s="214" t="n"/>
    </row>
    <row r="69">
      <c r="F69" s="214" t="n"/>
    </row>
    <row r="70">
      <c r="C70" s="7">
        <f>IF(B68="","",MONTH(B68))</f>
        <v/>
      </c>
      <c r="D70" s="7">
        <f>IF(B68="","",YEAR(B68))</f>
        <v/>
      </c>
      <c r="F70" s="214" t="n"/>
      <c r="G70" s="215" t="n"/>
      <c r="H70" s="7" t="inlineStr">
        <is>
          <t>LUX</t>
        </is>
      </c>
      <c r="I70" s="211" t="n">
        <v>0</v>
      </c>
      <c r="J70" s="21" t="n">
        <v>0.17</v>
      </c>
      <c r="K70" s="211">
        <f>I68*J68</f>
        <v/>
      </c>
      <c r="L70" s="211">
        <f>I70+K70</f>
        <v/>
      </c>
      <c r="M70" s="211">
        <f>M69+L70</f>
        <v/>
      </c>
      <c r="N70" s="9" t="inlineStr">
        <is>
          <t>PP</t>
        </is>
      </c>
      <c r="O70" t="inlineStr">
        <is>
          <t>COSTS</t>
        </is>
      </c>
      <c r="Q70" t="inlineStr">
        <is>
          <t>6135000 - FRAIS D'ACTES NOTARIES ET ASSIMILES</t>
        </is>
      </c>
      <c r="S70" t="inlineStr">
        <is>
          <t>Inscription au RBE des Beneficiaires effectifs</t>
        </is>
      </c>
      <c r="T70" s="56" t="inlineStr">
        <is>
          <t>009-2025</t>
        </is>
      </c>
      <c r="U70" t="inlineStr">
        <is>
          <t>R.B.E. Luxembourg</t>
        </is>
      </c>
      <c r="W70" t="inlineStr">
        <is>
          <t>Green Enerbras One SCSp</t>
        </is>
      </c>
      <c r="X70" s="9" t="inlineStr">
        <is>
          <t>NON</t>
        </is>
      </c>
      <c r="Y70" s="9" t="inlineStr">
        <is>
          <t>X</t>
        </is>
      </c>
    </row>
    <row r="71">
      <c r="C71" s="7">
        <f>IF(B69="","",MONTH(B69))</f>
        <v/>
      </c>
      <c r="D71" s="7">
        <f>IF(B69="","",YEAR(B69))</f>
        <v/>
      </c>
      <c r="F71" s="214" t="n"/>
      <c r="G71" s="215" t="n"/>
      <c r="H71" s="7" t="inlineStr">
        <is>
          <t>LUX</t>
        </is>
      </c>
      <c r="I71" s="211" t="n">
        <v>0</v>
      </c>
      <c r="J71" s="21" t="n">
        <v>0.17</v>
      </c>
      <c r="K71" s="211">
        <f>I69*J69</f>
        <v/>
      </c>
      <c r="L71" s="211">
        <f>I71+K71</f>
        <v/>
      </c>
      <c r="M71" s="211">
        <f>M70+L71</f>
        <v/>
      </c>
      <c r="N71" s="9" t="inlineStr">
        <is>
          <t>PP</t>
        </is>
      </c>
      <c r="O71" t="inlineStr">
        <is>
          <t>COSTS</t>
        </is>
      </c>
      <c r="Q71" t="inlineStr">
        <is>
          <t>6135000 - FRAIS D'ACTES NOTARIES ET ASSIMILES</t>
        </is>
      </c>
      <c r="S71" t="inlineStr">
        <is>
          <t>Remboursement des Frais</t>
        </is>
      </c>
      <c r="U71" t="inlineStr">
        <is>
          <t>Tubia Edoardo</t>
        </is>
      </c>
      <c r="V71" t="inlineStr">
        <is>
          <t>BDL</t>
        </is>
      </c>
      <c r="W71" t="inlineStr">
        <is>
          <t>Green Enerbras One SCSp</t>
        </is>
      </c>
      <c r="X71" s="9" t="inlineStr">
        <is>
          <t>NON</t>
        </is>
      </c>
      <c r="Y71" s="9" t="inlineStr">
        <is>
          <t>X</t>
        </is>
      </c>
    </row>
    <row r="72">
      <c r="C72" s="7">
        <f>IF(B70="","",MONTH(B70))</f>
        <v/>
      </c>
      <c r="D72" s="7">
        <f>IF(B70="","",YEAR(B70))</f>
        <v/>
      </c>
      <c r="F72" s="214" t="n"/>
      <c r="G72" s="215" t="n"/>
      <c r="H72" s="7" t="inlineStr">
        <is>
          <t>LUX</t>
        </is>
      </c>
      <c r="I72" s="211">
        <f>-I69</f>
        <v/>
      </c>
      <c r="J72" s="21" t="n">
        <v>0.17</v>
      </c>
      <c r="K72" s="211">
        <f>-K69</f>
        <v/>
      </c>
      <c r="L72" s="211">
        <f>I70+K70</f>
        <v/>
      </c>
      <c r="M72" s="211">
        <f>M71+L72</f>
        <v/>
      </c>
      <c r="N72" s="9" t="inlineStr">
        <is>
          <t>PP</t>
        </is>
      </c>
      <c r="O72" t="inlineStr">
        <is>
          <t>COSTS</t>
        </is>
      </c>
      <c r="Q72" t="inlineStr">
        <is>
          <t>6135000 - FRAIS D'ACTES NOTARIES ET ASSIMILES</t>
        </is>
      </c>
      <c r="S72" t="inlineStr">
        <is>
          <t>Remboursement des Frais</t>
        </is>
      </c>
      <c r="U72" t="inlineStr">
        <is>
          <t>Tubia Edoardo</t>
        </is>
      </c>
      <c r="V72" t="inlineStr">
        <is>
          <t>BDL</t>
        </is>
      </c>
      <c r="W72" t="inlineStr">
        <is>
          <t>Green Enerbras One SCSp</t>
        </is>
      </c>
      <c r="X72" s="9" t="inlineStr">
        <is>
          <t>NON</t>
        </is>
      </c>
      <c r="Y72" s="9" t="inlineStr">
        <is>
          <t>X</t>
        </is>
      </c>
    </row>
  </sheetData>
  <autoFilter ref="A1:Y70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topLeftCell="A7" workbookViewId="0">
      <selection activeCell="D10" sqref="D10:D30"/>
    </sheetView>
  </sheetViews>
  <sheetFormatPr baseColWidth="8" defaultColWidth="9.140625" defaultRowHeight="15"/>
  <cols>
    <col width="78.140625" customWidth="1" min="1" max="1"/>
    <col width="14.7109375" customWidth="1" min="2" max="2"/>
    <col width="18.140625" customWidth="1" min="3" max="3"/>
    <col width="18" customWidth="1" min="4" max="4"/>
    <col width="14.7109375" customWidth="1" min="5" max="6"/>
    <col width="18.28515625" bestFit="1" customWidth="1" min="7" max="7"/>
  </cols>
  <sheetData>
    <row r="1">
      <c r="A1" s="10" t="inlineStr">
        <is>
          <t>B/P</t>
        </is>
      </c>
      <c r="B1" t="inlineStr">
        <is>
          <t>(più elementi)</t>
        </is>
      </c>
    </row>
    <row r="2">
      <c r="A2" s="10" t="inlineStr">
        <is>
          <t>BANK</t>
        </is>
      </c>
      <c r="B2" t="inlineStr">
        <is>
          <t>(Tutto)</t>
        </is>
      </c>
    </row>
    <row r="3">
      <c r="A3" s="10" t="inlineStr">
        <is>
          <t>PAYE</t>
        </is>
      </c>
      <c r="B3" t="inlineStr">
        <is>
          <t>OUI</t>
        </is>
      </c>
    </row>
    <row r="5" customFormat="1" s="9">
      <c r="A5" s="10" t="inlineStr">
        <is>
          <t>Sum of Importo</t>
        </is>
      </c>
      <c r="B5" s="10" t="inlineStr">
        <is>
          <t>Etichette di colonna</t>
        </is>
      </c>
    </row>
    <row r="6">
      <c r="A6" s="42" t="inlineStr">
        <is>
          <t>Etichette di riga</t>
        </is>
      </c>
      <c r="B6" s="9" t="n">
        <v>2025</v>
      </c>
      <c r="C6" t="n">
        <v>2026</v>
      </c>
      <c r="D6" s="9" t="inlineStr">
        <is>
          <t>Totale complessivo</t>
        </is>
      </c>
    </row>
    <row r="7">
      <c r="A7" s="11" t="inlineStr">
        <is>
          <t>CAPITAUX PROPRES ET PASSIF</t>
        </is>
      </c>
      <c r="B7" s="211" t="n"/>
      <c r="C7" s="211" t="n"/>
      <c r="D7" s="211" t="n"/>
    </row>
    <row r="8">
      <c r="A8" s="12" t="inlineStr">
        <is>
          <t>I. CAPITAL SOUSCRIT</t>
        </is>
      </c>
      <c r="B8" s="211" t="n"/>
      <c r="C8" s="211" t="n"/>
      <c r="D8" s="211" t="n"/>
    </row>
    <row r="9">
      <c r="A9" s="13" t="inlineStr">
        <is>
          <t>Bertozzi Stefano</t>
        </is>
      </c>
      <c r="B9" s="211" t="n"/>
      <c r="C9" s="211" t="n"/>
      <c r="D9" s="211" t="n"/>
    </row>
    <row r="10">
      <c r="A10" s="82" t="inlineStr">
        <is>
          <t>1010000 - Capital Souscrit</t>
        </is>
      </c>
      <c r="B10" s="211" t="n">
        <v>20000</v>
      </c>
      <c r="C10" s="211" t="n"/>
      <c r="D10" s="211" t="n">
        <v>20000</v>
      </c>
    </row>
    <row r="11">
      <c r="A11" s="13" t="inlineStr">
        <is>
          <t>De Miguel Bellvis Maria</t>
        </is>
      </c>
      <c r="B11" s="211" t="n"/>
      <c r="C11" s="211" t="n"/>
      <c r="D11" s="211" t="n"/>
    </row>
    <row r="12">
      <c r="A12" s="82" t="inlineStr">
        <is>
          <t>1010000 - Capital Souscrit</t>
        </is>
      </c>
      <c r="B12" s="211" t="n">
        <v>20000</v>
      </c>
      <c r="C12" s="211" t="n"/>
      <c r="D12" s="211" t="n">
        <v>20000</v>
      </c>
    </row>
    <row r="13">
      <c r="A13" s="13" t="inlineStr">
        <is>
          <t>Desiderio Salvatore</t>
        </is>
      </c>
      <c r="B13" s="211" t="n"/>
      <c r="C13" s="211" t="n"/>
      <c r="D13" s="211" t="n"/>
    </row>
    <row r="14">
      <c r="A14" s="82" t="inlineStr">
        <is>
          <t>1010000 - Capital Souscrit</t>
        </is>
      </c>
      <c r="B14" s="211" t="n">
        <v>40000</v>
      </c>
      <c r="C14" s="211" t="n"/>
      <c r="D14" s="211" t="n">
        <v>40000</v>
      </c>
    </row>
    <row r="15">
      <c r="A15" s="13" t="inlineStr">
        <is>
          <t>Tubia Edoardo</t>
        </is>
      </c>
      <c r="B15" s="211" t="n"/>
      <c r="C15" s="211" t="n"/>
      <c r="D15" s="211" t="n"/>
    </row>
    <row r="16">
      <c r="A16" s="82" t="inlineStr">
        <is>
          <t>1010000 - Capital Souscrit</t>
        </is>
      </c>
      <c r="B16" s="211" t="n">
        <v>40000</v>
      </c>
      <c r="C16" s="211" t="n"/>
      <c r="D16" s="211" t="n">
        <v>40000</v>
      </c>
    </row>
    <row r="17">
      <c r="A17" s="13" t="inlineStr">
        <is>
          <t>Tubia Enrico</t>
        </is>
      </c>
      <c r="B17" s="211" t="n"/>
      <c r="C17" s="211" t="n"/>
      <c r="D17" s="211" t="n"/>
    </row>
    <row r="18">
      <c r="A18" s="82" t="inlineStr">
        <is>
          <t>1010000 - Capital Souscrit</t>
        </is>
      </c>
      <c r="B18" s="211" t="n">
        <v>20000</v>
      </c>
      <c r="C18" s="211" t="n"/>
      <c r="D18" s="211" t="n">
        <v>20000</v>
      </c>
    </row>
    <row r="19">
      <c r="A19" s="13" t="inlineStr">
        <is>
          <t>Tubia Silvia</t>
        </is>
      </c>
      <c r="B19" s="211" t="n"/>
      <c r="C19" s="211" t="n"/>
      <c r="D19" s="211" t="n"/>
    </row>
    <row r="20">
      <c r="A20" s="82" t="inlineStr">
        <is>
          <t>1010000 - Capital Souscrit</t>
        </is>
      </c>
      <c r="B20" s="211" t="n">
        <v>20000</v>
      </c>
      <c r="C20" s="211" t="n"/>
      <c r="D20" s="211" t="n">
        <v>20000</v>
      </c>
    </row>
    <row r="21">
      <c r="A21" s="13" t="inlineStr">
        <is>
          <t>Zaniboni Elisa</t>
        </is>
      </c>
      <c r="B21" s="211" t="n"/>
      <c r="C21" s="211" t="n"/>
      <c r="D21" s="211" t="n"/>
    </row>
    <row r="22">
      <c r="A22" s="82" t="inlineStr">
        <is>
          <t>1010000 - Capital Souscrit</t>
        </is>
      </c>
      <c r="B22" s="211" t="n">
        <v>20000</v>
      </c>
      <c r="C22" s="211" t="n"/>
      <c r="D22" s="211" t="n">
        <v>20000</v>
      </c>
    </row>
    <row r="23">
      <c r="A23" s="13" t="inlineStr">
        <is>
          <t>Zaniboni Greta</t>
        </is>
      </c>
      <c r="B23" s="211" t="n"/>
      <c r="C23" s="211" t="n"/>
      <c r="D23" s="211" t="n"/>
    </row>
    <row r="24">
      <c r="A24" s="82" t="inlineStr">
        <is>
          <t>1010000 - Capital Souscrit</t>
        </is>
      </c>
      <c r="B24" s="211" t="n">
        <v>20000</v>
      </c>
      <c r="C24" s="211" t="n"/>
      <c r="D24" s="211" t="n">
        <v>20000</v>
      </c>
    </row>
    <row r="25">
      <c r="A25" s="13" t="inlineStr">
        <is>
          <t>NEW LIFE Sarl</t>
        </is>
      </c>
      <c r="B25" s="211" t="n"/>
      <c r="C25" s="211" t="n"/>
      <c r="D25" s="211" t="n"/>
    </row>
    <row r="26">
      <c r="A26" s="82" t="inlineStr">
        <is>
          <t>1010000 - Capital Souscrit</t>
        </is>
      </c>
      <c r="B26" s="211" t="n">
        <v>1000</v>
      </c>
      <c r="C26" s="211" t="n"/>
      <c r="D26" s="211" t="n">
        <v>1000</v>
      </c>
    </row>
    <row r="27">
      <c r="A27" s="13" t="inlineStr">
        <is>
          <t>Sterzi Marco</t>
        </is>
      </c>
      <c r="B27" s="211" t="n"/>
      <c r="C27" s="211" t="n"/>
      <c r="D27" s="211" t="n"/>
    </row>
    <row r="28">
      <c r="A28" s="82" t="inlineStr">
        <is>
          <t>1010000 - Capital Souscrit</t>
        </is>
      </c>
      <c r="B28" s="211" t="n"/>
      <c r="C28" s="211" t="n">
        <v>40000</v>
      </c>
      <c r="D28" s="211" t="n">
        <v>40000</v>
      </c>
    </row>
    <row r="29">
      <c r="A29" s="13" t="inlineStr">
        <is>
          <t>Miletti Giovanni</t>
        </is>
      </c>
      <c r="B29" s="211" t="n"/>
      <c r="C29" s="211" t="n"/>
      <c r="D29" s="211" t="n"/>
    </row>
    <row r="30">
      <c r="A30" s="82" t="inlineStr">
        <is>
          <t>1010000 - Capital Souscrit</t>
        </is>
      </c>
      <c r="B30" s="211" t="n"/>
      <c r="C30" s="211" t="n">
        <v>20000</v>
      </c>
      <c r="D30" s="211" t="n">
        <v>20000</v>
      </c>
    </row>
    <row r="31">
      <c r="A31" s="11" t="inlineStr">
        <is>
          <t>IMMOBILISATIONS</t>
        </is>
      </c>
      <c r="B31" s="211" t="n"/>
      <c r="C31" s="211" t="n"/>
      <c r="D31" s="211" t="n"/>
    </row>
    <row r="32">
      <c r="A32" s="12" t="inlineStr">
        <is>
          <t>233 - PARTICIPATIONS</t>
        </is>
      </c>
      <c r="B32" s="211" t="n"/>
      <c r="C32" s="211" t="n"/>
      <c r="D32" s="211" t="n"/>
    </row>
    <row r="33">
      <c r="A33" s="13" t="inlineStr">
        <is>
          <t>TRI STAR ENERBRAS ONE SCP</t>
        </is>
      </c>
      <c r="B33" s="211" t="n"/>
      <c r="C33" s="211" t="n"/>
      <c r="D33" s="211" t="n"/>
    </row>
    <row r="34">
      <c r="A34" s="82" t="inlineStr">
        <is>
          <t xml:space="preserve">Acquisition de participation </t>
        </is>
      </c>
      <c r="B34" s="211" t="n">
        <v>-150000</v>
      </c>
      <c r="C34" s="211" t="n">
        <v>-90000</v>
      </c>
      <c r="D34" s="211" t="n">
        <v>-240000</v>
      </c>
    </row>
    <row r="35">
      <c r="A35" s="11" t="inlineStr">
        <is>
          <t>COSTS</t>
        </is>
      </c>
      <c r="B35" s="211" t="n"/>
      <c r="C35" s="211" t="n"/>
      <c r="D35" s="211" t="n"/>
    </row>
    <row r="36">
      <c r="A36" s="12" t="inlineStr">
        <is>
          <t>61333 - FRAIS DE COMPTE BANQUE</t>
        </is>
      </c>
      <c r="B36" s="211" t="n"/>
      <c r="C36" s="211" t="n"/>
      <c r="D36" s="211" t="n"/>
    </row>
    <row r="37">
      <c r="A37" s="13" t="inlineStr">
        <is>
          <t>Banque de Luxembourg</t>
        </is>
      </c>
      <c r="B37" s="211" t="n"/>
      <c r="C37" s="211" t="n"/>
      <c r="D37" s="211" t="n"/>
    </row>
    <row r="38">
      <c r="A38" s="82" t="inlineStr">
        <is>
          <t>Frais bancaires</t>
        </is>
      </c>
      <c r="B38" s="211" t="n">
        <v>-277</v>
      </c>
      <c r="C38" s="211" t="n">
        <v>-784</v>
      </c>
      <c r="D38" s="211" t="n">
        <v>-1061</v>
      </c>
    </row>
    <row r="39">
      <c r="A39" s="12" t="inlineStr">
        <is>
          <t>6135000 - FRAIS D'ACTES NOTARIES ET ASSIMILES</t>
        </is>
      </c>
      <c r="B39" s="211" t="n"/>
      <c r="C39" s="211" t="n"/>
      <c r="D39" s="211" t="n"/>
    </row>
    <row r="40">
      <c r="A40" s="13" t="inlineStr">
        <is>
          <t>Notaire Martine Schaeffer</t>
        </is>
      </c>
      <c r="B40" s="211" t="n"/>
      <c r="C40" s="211" t="n"/>
      <c r="D40" s="211" t="n"/>
    </row>
    <row r="41">
      <c r="A41" s="82" t="inlineStr">
        <is>
          <t>Legalisation documentation</t>
        </is>
      </c>
      <c r="B41" s="211" t="n">
        <v>-182.56</v>
      </c>
      <c r="C41" s="211" t="n"/>
      <c r="D41" s="211" t="n">
        <v>-182.56</v>
      </c>
    </row>
    <row r="42">
      <c r="A42" s="13" t="inlineStr">
        <is>
          <t>R.B.E. Luxembourg</t>
        </is>
      </c>
      <c r="B42" s="211" t="n"/>
      <c r="C42" s="211" t="n"/>
      <c r="D42" s="211" t="n"/>
    </row>
    <row r="43">
      <c r="A43" s="82" t="inlineStr">
        <is>
          <t>Inscription au RBE des Beneficiaires effectifs</t>
        </is>
      </c>
      <c r="B43" s="211" t="n">
        <v>-30</v>
      </c>
      <c r="C43" s="211" t="n">
        <v>-15</v>
      </c>
      <c r="D43" s="211" t="n">
        <v>-45</v>
      </c>
    </row>
    <row r="44">
      <c r="A44" s="13" t="inlineStr">
        <is>
          <t>R.C.S. Luxembourg</t>
        </is>
      </c>
      <c r="B44" s="211" t="n"/>
      <c r="C44" s="211" t="n"/>
      <c r="D44" s="211" t="n"/>
    </row>
    <row r="45">
      <c r="A45" s="82" t="inlineStr">
        <is>
          <t>Frais d'extrait RCS</t>
        </is>
      </c>
      <c r="B45" s="211" t="n">
        <v>-12</v>
      </c>
      <c r="C45" s="211" t="n"/>
      <c r="D45" s="211" t="n">
        <v>-12</v>
      </c>
    </row>
    <row r="46">
      <c r="A46" s="82" t="inlineStr">
        <is>
          <t>Immatriculationn - Frais administratifs</t>
        </is>
      </c>
      <c r="B46" s="211" t="n">
        <v>-105.91</v>
      </c>
      <c r="C46" s="211" t="n"/>
      <c r="D46" s="211" t="n">
        <v>-105.91</v>
      </c>
    </row>
    <row r="47">
      <c r="A47" s="82" t="inlineStr">
        <is>
          <t>Frais d'extrait RCS - Papier Securise</t>
        </is>
      </c>
      <c r="B47" s="211" t="n">
        <v>-21.43</v>
      </c>
      <c r="C47" s="211" t="n"/>
      <c r="D47" s="211" t="n">
        <v>-21.43</v>
      </c>
    </row>
    <row r="48">
      <c r="A48" s="13" t="inlineStr">
        <is>
          <t>Tubia Edoardo</t>
        </is>
      </c>
      <c r="B48" s="211" t="n"/>
      <c r="C48" s="211" t="n"/>
      <c r="D48" s="211" t="n"/>
    </row>
    <row r="49">
      <c r="A49" s="82" t="inlineStr">
        <is>
          <t>Remboursement des Frais</t>
        </is>
      </c>
      <c r="B49" s="211" t="n">
        <v>0</v>
      </c>
      <c r="C49" s="211" t="n">
        <v>0</v>
      </c>
      <c r="D49" s="211" t="n">
        <v>0</v>
      </c>
    </row>
    <row r="50">
      <c r="A50" s="13" t="inlineStr">
        <is>
          <t>Ministere des Affaires Etrangeres et Europeennes</t>
        </is>
      </c>
      <c r="B50" s="211" t="n"/>
      <c r="C50" s="211" t="n"/>
      <c r="D50" s="211" t="n"/>
    </row>
    <row r="51">
      <c r="A51" s="82" t="inlineStr">
        <is>
          <t>Apostille sur documentation Ministere des Affaires Etrangeres et Europeennes</t>
        </is>
      </c>
      <c r="B51" s="211" t="n">
        <v>-100</v>
      </c>
      <c r="C51" s="211" t="n"/>
      <c r="D51" s="211" t="n">
        <v>-100</v>
      </c>
    </row>
    <row r="52">
      <c r="A52" t="inlineStr">
        <is>
          <t>6511200 - TVA NON RECUPERABLE</t>
        </is>
      </c>
    </row>
    <row r="53">
      <c r="A53" t="inlineStr">
        <is>
          <t>Administration de l'Enregistrement, des Domaines et de la TVA</t>
        </is>
      </c>
    </row>
    <row r="54">
      <c r="A54" t="inlineStr">
        <is>
          <t>TVA non recuperabile</t>
        </is>
      </c>
      <c r="B54" t="n">
        <v>-47.583</v>
      </c>
      <c r="C54" t="n">
        <v>-2.55</v>
      </c>
      <c r="D54" t="n">
        <v>-50.133</v>
      </c>
    </row>
    <row r="55">
      <c r="A55" s="12" t="inlineStr">
        <is>
          <t>(vuoto)</t>
        </is>
      </c>
      <c r="B55" s="211" t="n"/>
      <c r="C55" s="211" t="n"/>
      <c r="D55" s="211" t="n"/>
    </row>
    <row r="56">
      <c r="A56" s="13" t="inlineStr">
        <is>
          <t>NEW LIFE Sarl</t>
        </is>
      </c>
      <c r="B56" s="211" t="n"/>
      <c r="C56" s="211" t="n"/>
      <c r="D56" s="211" t="n"/>
    </row>
    <row r="57">
      <c r="A57" s="82" t="inlineStr">
        <is>
          <t>Participation Fee 2%</t>
        </is>
      </c>
      <c r="B57" s="211" t="n"/>
      <c r="C57" s="211" t="n">
        <v>-5200</v>
      </c>
      <c r="D57" s="211" t="n">
        <v>-5200</v>
      </c>
    </row>
    <row r="58">
      <c r="A58" s="11" t="inlineStr">
        <is>
          <t>Totale complessivo</t>
        </is>
      </c>
      <c r="B58" s="211" t="n">
        <v>50223.517</v>
      </c>
      <c r="C58" s="211" t="n">
        <v>-36001.55</v>
      </c>
      <c r="D58" s="211" t="n">
        <v>14221.967</v>
      </c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topLeftCell="B18" zoomScaleNormal="100" workbookViewId="0">
      <selection activeCell="G49" sqref="G49"/>
    </sheetView>
  </sheetViews>
  <sheetFormatPr baseColWidth="8" defaultColWidth="8.7109375" defaultRowHeight="15"/>
  <cols>
    <col width="6.140625" customWidth="1" min="1" max="1"/>
    <col width="13.85546875" customWidth="1" min="2" max="2"/>
    <col width="28.85546875" customWidth="1" min="3" max="3"/>
    <col width="11.28515625" customWidth="1" min="4" max="4"/>
    <col width="14.140625" bestFit="1" customWidth="1" min="5" max="5"/>
    <col width="17.140625" customWidth="1" min="6" max="6"/>
    <col width="14.42578125" customWidth="1" min="7" max="7"/>
    <col width="17.5703125" customWidth="1" min="8" max="8"/>
    <col width="2.85546875" customWidth="1" min="9" max="9"/>
    <col width="14.28515625" customWidth="1" min="10" max="10"/>
    <col width="13.42578125" customWidth="1" min="11" max="11"/>
    <col width="8.7109375" customWidth="1" style="90" min="12" max="12"/>
  </cols>
  <sheetData>
    <row r="1" ht="21" customHeight="1">
      <c r="C1" s="80" t="inlineStr">
        <is>
          <t>TRASFERIMENTI</t>
        </is>
      </c>
      <c r="F1" s="89" t="inlineStr">
        <is>
          <t>Cambio EUR/R$</t>
        </is>
      </c>
      <c r="G1" s="180">
        <f>[1]Tasso!$E$1</f>
        <v/>
      </c>
      <c r="H1" s="94">
        <f>[1]Tasso!$C$18</f>
        <v/>
      </c>
      <c r="J1" s="4" t="inlineStr">
        <is>
          <t>Attualizzazione</t>
        </is>
      </c>
      <c r="K1" s="4" t="inlineStr">
        <is>
          <t>Plus/Minus</t>
        </is>
      </c>
      <c r="L1" s="20" t="inlineStr">
        <is>
          <t>%</t>
        </is>
      </c>
    </row>
    <row r="2">
      <c r="A2" s="73" t="n">
        <v>1</v>
      </c>
      <c r="B2" s="179" t="inlineStr">
        <is>
          <t>OP. NR 01</t>
        </is>
      </c>
      <c r="C2" s="74" t="inlineStr">
        <is>
          <t>TRI STAR ENERBRAS ONE SCP</t>
        </is>
      </c>
      <c r="D2" s="75" t="n"/>
      <c r="E2" s="75" t="n"/>
      <c r="F2" s="75" t="n"/>
      <c r="G2" s="75" t="n"/>
      <c r="H2" s="225" t="n"/>
      <c r="J2" s="86" t="n"/>
      <c r="K2" s="87" t="n"/>
      <c r="L2" s="91" t="n"/>
    </row>
    <row r="3">
      <c r="A3" s="76" t="n"/>
      <c r="B3" s="96" t="n"/>
      <c r="C3" s="14" t="n"/>
      <c r="D3" s="173" t="n">
        <v>45975</v>
      </c>
      <c r="E3" t="inlineStr">
        <is>
          <t>Fondi trasferiti</t>
        </is>
      </c>
      <c r="F3" s="226" t="n">
        <v>50000</v>
      </c>
      <c r="G3" s="14" t="n"/>
      <c r="H3" s="227" t="n"/>
      <c r="J3" s="76" t="n"/>
      <c r="K3" s="88" t="n"/>
      <c r="L3" s="92" t="n"/>
    </row>
    <row r="4">
      <c r="A4" s="76" t="n"/>
      <c r="B4" s="96" t="n"/>
      <c r="C4" s="14" t="n"/>
      <c r="D4" s="14" t="n"/>
      <c r="E4" t="inlineStr">
        <is>
          <t>Spese banca</t>
        </is>
      </c>
      <c r="F4" s="205" t="n">
        <v>-25</v>
      </c>
      <c r="G4" s="14" t="n"/>
      <c r="H4" s="227" t="n"/>
      <c r="J4" s="76" t="n"/>
      <c r="K4" s="88" t="n"/>
      <c r="L4" s="92" t="n"/>
    </row>
    <row r="5">
      <c r="A5" s="76" t="n"/>
      <c r="B5" s="96" t="inlineStr">
        <is>
          <t>Transfer su:</t>
        </is>
      </c>
      <c r="C5" s="174" t="inlineStr">
        <is>
          <t>TRI STAR ENERGY LTDA</t>
        </is>
      </c>
      <c r="D5" s="14" t="n"/>
      <c r="F5" s="197">
        <f>SUM(F3:F4)</f>
        <v/>
      </c>
      <c r="G5" s="228" t="n">
        <v>6.131292910057</v>
      </c>
      <c r="H5" s="229">
        <f>F5*G5</f>
        <v/>
      </c>
      <c r="J5" s="76" t="n"/>
      <c r="K5" s="88" t="n"/>
      <c r="L5" s="92" t="n"/>
    </row>
    <row r="6">
      <c r="A6" s="76" t="n"/>
      <c r="B6" s="96" t="n"/>
      <c r="C6" s="77" t="inlineStr">
        <is>
          <t>Banco: 348 - BANCO XP S.A.</t>
        </is>
      </c>
      <c r="D6" s="14" t="n"/>
      <c r="E6" s="196" t="n"/>
      <c r="F6" s="196" t="n"/>
      <c r="G6" s="14" t="n"/>
      <c r="H6" s="229">
        <f>H8-H5</f>
        <v/>
      </c>
      <c r="J6" s="76" t="n"/>
      <c r="K6" s="88" t="n"/>
      <c r="L6" s="92" t="n"/>
    </row>
    <row r="7">
      <c r="A7" s="76" t="n"/>
      <c r="B7" s="96" t="n"/>
      <c r="C7" s="77" t="inlineStr">
        <is>
          <t>Agenci 1</t>
        </is>
      </c>
      <c r="D7" s="14" t="n"/>
      <c r="E7" s="196" t="n"/>
      <c r="F7" s="196" t="n"/>
      <c r="G7" s="72" t="n"/>
      <c r="H7" s="230" t="n"/>
      <c r="J7" s="76" t="n"/>
      <c r="K7" s="88" t="n"/>
      <c r="L7" s="92" t="n"/>
    </row>
    <row r="8">
      <c r="A8" s="76" t="n"/>
      <c r="B8" s="96" t="n"/>
      <c r="C8" s="77" t="inlineStr">
        <is>
          <t>Conta: 18638574</t>
        </is>
      </c>
      <c r="D8" s="173" t="n">
        <v>45975</v>
      </c>
      <c r="E8" s="77" t="inlineStr">
        <is>
          <t>Cambio effettivo</t>
        </is>
      </c>
      <c r="F8" s="176" t="n"/>
      <c r="G8" s="177">
        <f>H8/F5</f>
        <v/>
      </c>
      <c r="H8" s="229" t="n">
        <v>305247</v>
      </c>
      <c r="J8" s="76" t="n"/>
      <c r="K8" s="88" t="n"/>
      <c r="L8" s="92" t="n"/>
    </row>
    <row r="9">
      <c r="A9" s="76" t="n"/>
      <c r="B9" s="96" t="n"/>
      <c r="C9" s="14" t="n"/>
      <c r="D9" s="14" t="n"/>
      <c r="E9" s="77" t="inlineStr">
        <is>
          <t>Spese banca</t>
        </is>
      </c>
      <c r="F9" s="176" t="n"/>
      <c r="G9" s="14" t="n"/>
      <c r="H9" s="231" t="n">
        <v>-7</v>
      </c>
      <c r="J9" s="76" t="n"/>
      <c r="K9" s="88" t="n"/>
      <c r="L9" s="92" t="n"/>
    </row>
    <row r="10">
      <c r="A10" s="76" t="n"/>
      <c r="B10" s="76" t="n"/>
      <c r="D10" s="14" t="n"/>
      <c r="E10" s="14" t="n"/>
      <c r="F10" s="14" t="n"/>
      <c r="G10" s="14" t="n"/>
      <c r="H10" s="232">
        <f>SUM(H8:H9)</f>
        <v/>
      </c>
      <c r="J10" s="233">
        <f>H10/$H$1</f>
        <v/>
      </c>
      <c r="K10" s="234">
        <f>J10-F3</f>
        <v/>
      </c>
      <c r="L10" s="93">
        <f>K10/F3</f>
        <v/>
      </c>
    </row>
    <row r="11">
      <c r="A11" s="73" t="n">
        <v>2</v>
      </c>
      <c r="B11" s="179" t="inlineStr">
        <is>
          <t>OP. NR 02</t>
        </is>
      </c>
      <c r="C11" s="74" t="inlineStr">
        <is>
          <t>TRI STAR ENERBRAS ONE SCP</t>
        </is>
      </c>
      <c r="D11" s="75" t="n"/>
      <c r="E11" s="75" t="n"/>
      <c r="F11" s="75" t="n"/>
      <c r="G11" s="75" t="n"/>
      <c r="H11" s="225" t="n"/>
      <c r="J11" s="76" t="n"/>
      <c r="K11" s="88" t="n"/>
      <c r="L11" s="92" t="n"/>
    </row>
    <row r="12">
      <c r="A12" s="76" t="n"/>
      <c r="B12" s="96" t="n"/>
      <c r="C12" s="14" t="n"/>
      <c r="D12" s="173" t="n">
        <v>45993</v>
      </c>
      <c r="E12" t="inlineStr">
        <is>
          <t>Fondi trasferiti</t>
        </is>
      </c>
      <c r="F12" s="226" t="n">
        <v>50000</v>
      </c>
      <c r="G12" s="14" t="n"/>
      <c r="H12" s="229" t="n"/>
      <c r="J12" s="76" t="n"/>
      <c r="K12" s="88" t="n"/>
      <c r="L12" s="92" t="n"/>
    </row>
    <row r="13">
      <c r="A13" s="76" t="n"/>
      <c r="B13" s="96" t="n"/>
      <c r="C13" s="14" t="n"/>
      <c r="D13" s="14" t="n"/>
      <c r="E13" t="inlineStr">
        <is>
          <t>Spese banca</t>
        </is>
      </c>
      <c r="F13" s="205" t="n">
        <v>-25</v>
      </c>
      <c r="G13" s="14" t="n"/>
      <c r="H13" s="229" t="n"/>
      <c r="J13" s="76" t="n"/>
      <c r="K13" s="88" t="n"/>
      <c r="L13" s="92" t="n"/>
    </row>
    <row r="14">
      <c r="A14" s="76" t="n"/>
      <c r="B14" s="96" t="inlineStr">
        <is>
          <t>Transfer su:</t>
        </is>
      </c>
      <c r="C14" s="174" t="inlineStr">
        <is>
          <t>TRI STAR ENERGY LTDA</t>
        </is>
      </c>
      <c r="D14" s="14" t="n"/>
      <c r="F14" s="197">
        <f>SUM(F12:F13)</f>
        <v/>
      </c>
      <c r="G14" s="235" t="n">
        <v>6.128124</v>
      </c>
      <c r="H14" s="229">
        <f>F14*G14</f>
        <v/>
      </c>
      <c r="J14" s="76" t="n"/>
      <c r="K14" s="88" t="n"/>
      <c r="L14" s="92" t="n"/>
      <c r="M14" t="inlineStr">
        <is>
          <t xml:space="preserve"> </t>
        </is>
      </c>
    </row>
    <row r="15">
      <c r="A15" s="76" t="n"/>
      <c r="B15" s="96" t="n"/>
      <c r="C15" s="77" t="inlineStr">
        <is>
          <t>Banco: 348 - BANCO XP S.A.</t>
        </is>
      </c>
      <c r="D15" s="14" t="n"/>
      <c r="E15" s="196" t="n"/>
      <c r="F15" s="196" t="n"/>
      <c r="G15" s="14" t="n"/>
      <c r="H15" s="229" t="n"/>
      <c r="J15" s="76" t="n"/>
      <c r="K15" s="88" t="n"/>
      <c r="L15" s="92" t="n"/>
    </row>
    <row r="16">
      <c r="A16" s="76" t="n"/>
      <c r="B16" s="96" t="n"/>
      <c r="C16" s="77" t="inlineStr">
        <is>
          <t>Agenci 1</t>
        </is>
      </c>
      <c r="D16" s="14" t="n"/>
      <c r="E16" s="196" t="n"/>
      <c r="F16" s="196" t="n"/>
      <c r="G16" s="72" t="n"/>
      <c r="H16" s="230" t="n"/>
      <c r="J16" s="76" t="n"/>
      <c r="K16" s="88" t="n"/>
      <c r="L16" s="92" t="n"/>
    </row>
    <row r="17">
      <c r="A17" s="76" t="n"/>
      <c r="B17" s="96" t="n"/>
      <c r="C17" s="77" t="inlineStr">
        <is>
          <t>Conta: 18638574</t>
        </is>
      </c>
      <c r="D17" s="173" t="n"/>
      <c r="E17" s="77" t="inlineStr">
        <is>
          <t>Cambio effettivo</t>
        </is>
      </c>
      <c r="F17" s="176" t="n"/>
      <c r="G17" s="177">
        <f>H17/F14</f>
        <v/>
      </c>
      <c r="H17" s="229">
        <f>SUM(H14:H16)</f>
        <v/>
      </c>
      <c r="J17" s="76" t="n"/>
      <c r="K17" s="88" t="n"/>
      <c r="L17" s="92" t="n"/>
    </row>
    <row r="18">
      <c r="A18" s="76" t="n"/>
      <c r="B18" s="96" t="n"/>
      <c r="C18" s="14" t="n"/>
      <c r="D18" s="14" t="n"/>
      <c r="E18" s="77" t="inlineStr">
        <is>
          <t>Spese banca</t>
        </is>
      </c>
      <c r="F18" s="176" t="n"/>
      <c r="G18" s="14" t="n"/>
      <c r="H18" s="231" t="n">
        <v>-7</v>
      </c>
      <c r="J18" s="76" t="n"/>
      <c r="K18" s="88" t="n"/>
      <c r="L18" s="92" t="n"/>
    </row>
    <row r="19">
      <c r="A19" s="76" t="n"/>
      <c r="B19" s="76" t="n"/>
      <c r="D19" s="14" t="n"/>
      <c r="E19" t="inlineStr">
        <is>
          <t>6,192 - 0,04 = 6,152 - 0,38% IOF = 6,128 (NET)</t>
        </is>
      </c>
      <c r="F19" s="14" t="n"/>
      <c r="G19" s="14" t="n"/>
      <c r="H19" s="232">
        <f>SUM(H17:H18)</f>
        <v/>
      </c>
      <c r="J19" s="233">
        <f>H19/$H$1</f>
        <v/>
      </c>
      <c r="K19" s="234">
        <f>J19-F12</f>
        <v/>
      </c>
      <c r="L19" s="93">
        <f>K19/F12</f>
        <v/>
      </c>
    </row>
    <row r="20">
      <c r="A20" s="73" t="n">
        <v>2</v>
      </c>
      <c r="B20" s="179" t="inlineStr">
        <is>
          <t>OP. NR 03</t>
        </is>
      </c>
      <c r="C20" s="74" t="inlineStr">
        <is>
          <t>TRI STAR ENERBRAS ONE SCP</t>
        </is>
      </c>
      <c r="D20" s="75" t="n"/>
      <c r="E20" s="75" t="n"/>
      <c r="F20" s="75" t="n"/>
      <c r="G20" s="75" t="n"/>
      <c r="H20" s="225" t="n"/>
      <c r="J20" s="76" t="n"/>
      <c r="K20" s="88" t="n"/>
      <c r="L20" s="92" t="n"/>
    </row>
    <row r="21">
      <c r="A21" s="76" t="n"/>
      <c r="B21" s="96" t="n"/>
      <c r="C21" s="14" t="n"/>
      <c r="D21" s="173" t="n">
        <v>46007</v>
      </c>
      <c r="E21" t="inlineStr">
        <is>
          <t>Fondi trasferiti</t>
        </is>
      </c>
      <c r="F21" s="226" t="n">
        <v>50000</v>
      </c>
      <c r="G21" s="14" t="n"/>
      <c r="H21" s="229" t="n"/>
      <c r="J21" s="76" t="n"/>
      <c r="K21" s="88" t="n"/>
      <c r="L21" s="92" t="n"/>
    </row>
    <row r="22">
      <c r="A22" s="76" t="n"/>
      <c r="B22" s="96" t="n"/>
      <c r="C22" s="14" t="n"/>
      <c r="D22" s="14" t="n"/>
      <c r="E22" t="inlineStr">
        <is>
          <t>Spese banca</t>
        </is>
      </c>
      <c r="F22" s="205" t="n">
        <v>-25</v>
      </c>
      <c r="G22" s="14" t="n"/>
      <c r="H22" s="229" t="n"/>
      <c r="J22" s="76" t="n"/>
      <c r="K22" s="88" t="n"/>
      <c r="L22" s="92" t="n"/>
    </row>
    <row r="23">
      <c r="A23" s="76" t="n"/>
      <c r="B23" s="96" t="inlineStr">
        <is>
          <t>Transfer su:</t>
        </is>
      </c>
      <c r="C23" s="174" t="inlineStr">
        <is>
          <t>TRI STAR ENERGY LTDA</t>
        </is>
      </c>
      <c r="D23" s="14" t="n"/>
      <c r="F23" s="197">
        <f>SUM(F21:F22)</f>
        <v/>
      </c>
      <c r="G23" s="235" t="n">
        <v>6.36</v>
      </c>
      <c r="H23" s="229" t="n">
        <v>317848</v>
      </c>
      <c r="J23" s="76" t="n"/>
      <c r="K23" s="88" t="n"/>
      <c r="L23" s="92" t="n"/>
      <c r="M23" t="inlineStr">
        <is>
          <t xml:space="preserve"> </t>
        </is>
      </c>
    </row>
    <row r="24">
      <c r="A24" s="76" t="n"/>
      <c r="B24" s="96" t="n"/>
      <c r="C24" s="77" t="inlineStr">
        <is>
          <t>Banco: 348 - BANCO XP S.A.</t>
        </is>
      </c>
      <c r="D24" s="14" t="n"/>
      <c r="E24" s="196" t="n"/>
      <c r="F24" s="196" t="n"/>
      <c r="G24" s="14" t="n"/>
      <c r="H24" s="229" t="n"/>
      <c r="J24" s="76" t="n"/>
      <c r="K24" s="88" t="n"/>
      <c r="L24" s="92" t="n"/>
    </row>
    <row r="25">
      <c r="A25" s="76" t="n"/>
      <c r="B25" s="96" t="n"/>
      <c r="C25" s="77" t="inlineStr">
        <is>
          <t>Agenci 1</t>
        </is>
      </c>
      <c r="D25" s="14" t="n"/>
      <c r="E25" s="196" t="n"/>
      <c r="F25" s="196" t="n"/>
      <c r="G25" s="72" t="n"/>
      <c r="H25" s="230" t="n"/>
      <c r="J25" s="76" t="n"/>
      <c r="K25" s="88" t="n"/>
      <c r="L25" s="92" t="n"/>
    </row>
    <row r="26">
      <c r="A26" s="76" t="n"/>
      <c r="B26" s="96" t="n"/>
      <c r="C26" s="77" t="inlineStr">
        <is>
          <t>Conta: 18638574</t>
        </is>
      </c>
      <c r="D26" s="173" t="n"/>
      <c r="E26" s="77" t="inlineStr">
        <is>
          <t>Cambio effettivo</t>
        </is>
      </c>
      <c r="F26" s="176" t="n"/>
      <c r="G26" s="177">
        <f>H26/F23</f>
        <v/>
      </c>
      <c r="H26" s="229">
        <f>SUM(H23:H25)</f>
        <v/>
      </c>
      <c r="J26" s="76" t="n"/>
      <c r="K26" s="88" t="n"/>
      <c r="L26" s="92" t="n"/>
    </row>
    <row r="27">
      <c r="A27" s="76" t="n"/>
      <c r="B27" s="96" t="n"/>
      <c r="C27" s="14" t="n"/>
      <c r="D27" s="14" t="n"/>
      <c r="E27" s="77" t="inlineStr">
        <is>
          <t>Spese banca</t>
        </is>
      </c>
      <c r="F27" s="176" t="n"/>
      <c r="G27" s="14" t="n"/>
      <c r="H27" s="231" t="n">
        <v>-7</v>
      </c>
      <c r="J27" s="76" t="n"/>
      <c r="K27" s="88" t="n"/>
      <c r="L27" s="92" t="n"/>
    </row>
    <row r="28">
      <c r="A28" s="76" t="n"/>
      <c r="B28" s="76" t="n"/>
      <c r="D28" s="14" t="n"/>
      <c r="E28" t="inlineStr">
        <is>
          <t>6,427 - 0,04 = 6,387 - 0,38% IOF = 6,36 (NET)</t>
        </is>
      </c>
      <c r="F28" s="14" t="n"/>
      <c r="G28" s="14" t="n"/>
      <c r="H28" s="232">
        <f>SUM(H26:H27)</f>
        <v/>
      </c>
      <c r="J28" s="233">
        <f>H28/$H$1</f>
        <v/>
      </c>
      <c r="K28" s="234">
        <f>J28-F21</f>
        <v/>
      </c>
      <c r="L28" s="93">
        <f>K28/F21</f>
        <v/>
      </c>
    </row>
    <row r="29">
      <c r="A29" s="73" t="n">
        <v>2</v>
      </c>
      <c r="B29" s="179" t="inlineStr">
        <is>
          <t>OP. NR 04</t>
        </is>
      </c>
      <c r="C29" s="74" t="inlineStr">
        <is>
          <t>TRI STAR ENERBRAS ONE SCP</t>
        </is>
      </c>
      <c r="D29" s="75" t="n"/>
      <c r="E29" s="75" t="n"/>
      <c r="F29" s="75" t="n"/>
      <c r="G29" s="75" t="n"/>
      <c r="H29" s="225" t="n"/>
      <c r="J29" s="76" t="n"/>
      <c r="K29" s="88" t="n"/>
      <c r="L29" s="92" t="n"/>
    </row>
    <row r="30">
      <c r="A30" s="76" t="n"/>
      <c r="B30" s="96" t="n"/>
      <c r="C30" s="14" t="n"/>
      <c r="D30" s="173" t="n">
        <v>46149</v>
      </c>
      <c r="E30" t="inlineStr">
        <is>
          <t>Fondi trasferiti</t>
        </is>
      </c>
      <c r="F30" s="226" t="n">
        <v>40000</v>
      </c>
      <c r="G30" s="14" t="n"/>
      <c r="H30" s="229" t="n"/>
      <c r="J30" s="76" t="n"/>
      <c r="K30" s="88" t="n"/>
      <c r="L30" s="92" t="n"/>
    </row>
    <row r="31">
      <c r="A31" s="76" t="n"/>
      <c r="B31" s="96" t="n"/>
      <c r="C31" s="14" t="n"/>
      <c r="D31" s="14" t="n"/>
      <c r="E31" t="inlineStr">
        <is>
          <t>Spese banca</t>
        </is>
      </c>
      <c r="F31" s="205" t="n">
        <v>-25</v>
      </c>
      <c r="G31" s="14" t="n"/>
      <c r="H31" s="229" t="n"/>
      <c r="J31" s="76" t="n"/>
      <c r="K31" s="88" t="n"/>
      <c r="L31" s="92" t="n"/>
    </row>
    <row r="32">
      <c r="A32" s="76" t="n"/>
      <c r="B32" s="96" t="inlineStr">
        <is>
          <t>Transfer su:</t>
        </is>
      </c>
      <c r="C32" s="174" t="inlineStr">
        <is>
          <t>TRI STAR ENERGY LTDA</t>
        </is>
      </c>
      <c r="D32" s="14" t="n"/>
      <c r="F32" s="197">
        <f>SUM(F30:F31)</f>
        <v/>
      </c>
      <c r="G32" s="235">
        <f>H32/F32</f>
        <v/>
      </c>
      <c r="H32" s="229" t="n">
        <v>228124.87</v>
      </c>
      <c r="J32" s="76" t="n"/>
      <c r="K32" s="88" t="n"/>
      <c r="L32" s="92" t="n"/>
      <c r="M32" t="inlineStr">
        <is>
          <t xml:space="preserve"> </t>
        </is>
      </c>
    </row>
    <row r="33">
      <c r="A33" s="76" t="n"/>
      <c r="B33" s="96" t="n"/>
      <c r="C33" s="77" t="inlineStr">
        <is>
          <t>Banco: 348 - BANCO XP S.A.</t>
        </is>
      </c>
      <c r="D33" s="14" t="n"/>
      <c r="E33" s="196" t="n"/>
      <c r="F33" s="196" t="n"/>
      <c r="G33" s="14" t="n"/>
      <c r="H33" s="229" t="n">
        <v>-859.74</v>
      </c>
      <c r="J33" s="76" t="n"/>
      <c r="K33" s="88" t="n"/>
      <c r="L33" s="92" t="n"/>
    </row>
    <row r="34">
      <c r="A34" s="76" t="n"/>
      <c r="B34" s="96" t="n"/>
      <c r="C34" s="77" t="inlineStr">
        <is>
          <t>Agenci 1</t>
        </is>
      </c>
      <c r="D34" s="14" t="n"/>
      <c r="E34" s="196" t="n"/>
      <c r="F34" s="196" t="n"/>
      <c r="G34" s="72" t="n"/>
      <c r="H34" s="230" t="n"/>
      <c r="J34" s="76" t="n"/>
      <c r="K34" s="88" t="n"/>
      <c r="L34" s="92" t="n"/>
    </row>
    <row r="35">
      <c r="A35" s="76" t="n"/>
      <c r="B35" s="96" t="n"/>
      <c r="C35" s="77" t="inlineStr">
        <is>
          <t>Conta: 18638574</t>
        </is>
      </c>
      <c r="D35" s="173" t="n">
        <v>46150</v>
      </c>
      <c r="E35" s="77" t="inlineStr">
        <is>
          <t>Cambio effettivo</t>
        </is>
      </c>
      <c r="F35" s="176" t="n"/>
      <c r="G35" s="177">
        <f>H35/F32</f>
        <v/>
      </c>
      <c r="H35" s="229">
        <f>SUM(H32:H34)</f>
        <v/>
      </c>
      <c r="J35" s="76" t="n"/>
      <c r="K35" s="88" t="n"/>
      <c r="L35" s="92" t="n"/>
    </row>
    <row r="36">
      <c r="A36" s="76" t="n"/>
      <c r="B36" s="96" t="n"/>
      <c r="C36" s="14" t="n"/>
      <c r="D36" s="14" t="n"/>
      <c r="E36" s="77" t="inlineStr">
        <is>
          <t>Spese banca</t>
        </is>
      </c>
      <c r="F36" s="176" t="n"/>
      <c r="G36" s="14" t="n"/>
      <c r="H36" s="231" t="n">
        <v>-7.13</v>
      </c>
      <c r="J36" s="76" t="n"/>
      <c r="K36" s="88" t="n"/>
      <c r="L36" s="92" t="n"/>
    </row>
    <row r="37">
      <c r="A37" s="76" t="n"/>
      <c r="B37" s="78" t="n"/>
      <c r="C37" s="19" t="n"/>
      <c r="D37" s="72" t="n"/>
      <c r="E37" s="19" t="n"/>
      <c r="F37" s="72" t="n"/>
      <c r="G37" s="183" t="n"/>
      <c r="H37" s="232">
        <f>SUM(H35:H36)</f>
        <v/>
      </c>
      <c r="J37" s="233">
        <f>H37/$H$1</f>
        <v/>
      </c>
      <c r="K37" s="234">
        <f>J37-F30</f>
        <v/>
      </c>
      <c r="L37" s="93">
        <f>K37/F30</f>
        <v/>
      </c>
    </row>
    <row r="38">
      <c r="A38" s="73" t="n">
        <v>2</v>
      </c>
      <c r="B38" s="179" t="inlineStr">
        <is>
          <t>OP. NR 05</t>
        </is>
      </c>
      <c r="C38" s="74" t="inlineStr">
        <is>
          <t>TRI STAR ENERBRAS ONE SCP</t>
        </is>
      </c>
      <c r="D38" s="75" t="n"/>
      <c r="E38" s="75" t="n"/>
      <c r="F38" s="75" t="n"/>
      <c r="G38" s="75" t="n"/>
      <c r="H38" s="225" t="n"/>
      <c r="J38" s="76" t="n"/>
      <c r="K38" s="88" t="n"/>
      <c r="L38" s="92" t="n"/>
    </row>
    <row r="39">
      <c r="A39" s="76" t="n"/>
      <c r="B39" s="96" t="n"/>
      <c r="C39" s="14" t="n"/>
      <c r="D39" s="173" t="n">
        <v>46230</v>
      </c>
      <c r="E39" t="inlineStr">
        <is>
          <t>Fondi trasferiti</t>
        </is>
      </c>
      <c r="F39" s="226" t="n">
        <v>50000</v>
      </c>
      <c r="G39" s="14" t="n"/>
      <c r="H39" s="229" t="n"/>
      <c r="J39" s="76" t="n"/>
      <c r="K39" s="88" t="n"/>
      <c r="L39" s="92" t="n"/>
    </row>
    <row r="40">
      <c r="A40" s="76" t="n"/>
      <c r="B40" s="96" t="n"/>
      <c r="C40" s="14" t="n"/>
      <c r="D40" s="14" t="n"/>
      <c r="E40" t="inlineStr">
        <is>
          <t>Spese banca</t>
        </is>
      </c>
      <c r="F40" s="205" t="n">
        <v>-25</v>
      </c>
      <c r="G40" s="14" t="n"/>
      <c r="H40" s="229" t="n"/>
      <c r="J40" s="76" t="n"/>
      <c r="K40" s="88" t="n"/>
      <c r="L40" s="92" t="n"/>
    </row>
    <row r="41">
      <c r="A41" s="76" t="n"/>
      <c r="B41" s="96" t="inlineStr">
        <is>
          <t>Transfer su:</t>
        </is>
      </c>
      <c r="C41" s="174" t="inlineStr">
        <is>
          <t>TRI STAR ENERGY LTDA</t>
        </is>
      </c>
      <c r="D41" s="14" t="n"/>
      <c r="F41" s="197">
        <f>SUM(F39:F40)</f>
        <v/>
      </c>
      <c r="G41" s="235" t="n">
        <v>5.75</v>
      </c>
      <c r="H41" s="229">
        <f>F41*G41-0.25</f>
        <v/>
      </c>
      <c r="J41" s="76" t="n"/>
      <c r="K41" s="88" t="n"/>
      <c r="L41" s="92" t="n"/>
      <c r="M41" t="inlineStr">
        <is>
          <t xml:space="preserve"> </t>
        </is>
      </c>
    </row>
    <row r="42">
      <c r="A42" s="76" t="n"/>
      <c r="B42" s="96" t="n"/>
      <c r="C42" s="77" t="inlineStr">
        <is>
          <t>Banco: 348 - BANCO XP S.A.</t>
        </is>
      </c>
      <c r="D42" s="14" t="n"/>
      <c r="E42" s="196" t="n"/>
      <c r="F42" s="196" t="n"/>
      <c r="G42" s="14" t="n"/>
      <c r="H42" s="229" t="n">
        <v>0</v>
      </c>
      <c r="J42" s="76" t="n"/>
      <c r="K42" s="88" t="n"/>
      <c r="L42" s="92" t="n"/>
    </row>
    <row r="43">
      <c r="A43" s="76" t="n"/>
      <c r="B43" s="96" t="n"/>
      <c r="C43" s="77" t="inlineStr">
        <is>
          <t>Agenci 1</t>
        </is>
      </c>
      <c r="D43" s="14" t="n"/>
      <c r="E43" s="196" t="n"/>
      <c r="F43" s="196" t="n"/>
      <c r="G43" s="72" t="n"/>
      <c r="H43" s="230" t="n"/>
      <c r="J43" s="76" t="n"/>
      <c r="K43" s="88" t="n"/>
      <c r="L43" s="92" t="n"/>
    </row>
    <row r="44">
      <c r="A44" s="76" t="n"/>
      <c r="B44" s="96" t="n"/>
      <c r="C44" s="77" t="inlineStr">
        <is>
          <t>Conta: 18638574</t>
        </is>
      </c>
      <c r="D44" s="173" t="n">
        <v>46231</v>
      </c>
      <c r="E44" s="77" t="inlineStr">
        <is>
          <t>Cambio effettivo</t>
        </is>
      </c>
      <c r="F44" s="176" t="n"/>
      <c r="G44" s="177">
        <f>H44/F41</f>
        <v/>
      </c>
      <c r="H44" s="229">
        <f>SUM(H41:H43)</f>
        <v/>
      </c>
      <c r="J44" s="76" t="n"/>
      <c r="K44" s="88" t="n"/>
      <c r="L44" s="92" t="n"/>
    </row>
    <row r="45">
      <c r="A45" s="76" t="n"/>
      <c r="B45" s="96" t="n"/>
      <c r="C45" s="14" t="n"/>
      <c r="D45" s="14" t="n"/>
      <c r="E45" s="77" t="inlineStr">
        <is>
          <t>Spese banca</t>
        </is>
      </c>
      <c r="F45" s="176" t="n"/>
      <c r="G45" s="14" t="n"/>
      <c r="H45" s="231" t="n">
        <v>0</v>
      </c>
      <c r="J45" s="76" t="n"/>
      <c r="K45" s="88" t="n"/>
      <c r="L45" s="92" t="n"/>
    </row>
    <row r="46">
      <c r="A46" s="76" t="n"/>
      <c r="B46" s="78" t="n"/>
      <c r="C46" s="19" t="n"/>
      <c r="D46" s="72" t="n"/>
      <c r="E46" s="19" t="n"/>
      <c r="F46" s="72" t="n"/>
      <c r="G46" s="183" t="n"/>
      <c r="H46" s="232">
        <f>SUM(H44:H45)</f>
        <v/>
      </c>
      <c r="J46" s="233">
        <f>H46/$H$1</f>
        <v/>
      </c>
      <c r="K46" s="234">
        <f>J46-F39</f>
        <v/>
      </c>
      <c r="L46" s="93">
        <f>K46/F39</f>
        <v/>
      </c>
    </row>
    <row r="48">
      <c r="F48" s="226">
        <f>F3+F12+F21+F30+F39</f>
        <v/>
      </c>
      <c r="G48" s="4">
        <f>H48/F48</f>
        <v/>
      </c>
      <c r="H48" s="232">
        <f>H10+H19+H28+H37+H46</f>
        <v/>
      </c>
      <c r="J48" s="226">
        <f>SUM(J1:J37)</f>
        <v/>
      </c>
      <c r="K48" s="226">
        <f>SUM(K1:K37)</f>
        <v/>
      </c>
      <c r="L48" s="20">
        <f>K48/F48</f>
        <v/>
      </c>
    </row>
    <row r="49">
      <c r="F49" s="85" t="inlineStr">
        <is>
          <t>TOT Eur Trasferiti</t>
        </is>
      </c>
      <c r="G49" s="85" t="inlineStr">
        <is>
          <t>Cambio medio</t>
        </is>
      </c>
      <c r="H49" s="85" t="inlineStr">
        <is>
          <t>TOT R$ Accreditati</t>
        </is>
      </c>
    </row>
    <row r="51">
      <c r="C51" s="77" t="inlineStr">
        <is>
          <t xml:space="preserve">I fondi sono trasferiti sul conto della TRI STAR ENERGY LTDA che é il General Partner </t>
        </is>
      </c>
    </row>
    <row r="52">
      <c r="C52" s="77" t="inlineStr">
        <is>
          <t>della TRI STAR ENERBRAS ONE SCP che, in quanto SCP, non ha personalità giuridica</t>
        </is>
      </c>
    </row>
    <row r="53">
      <c r="C53" s="77" t="inlineStr">
        <is>
          <t>e quindi non puo' neanche avere un conto bancario.</t>
        </is>
      </c>
    </row>
  </sheetData>
  <conditionalFormatting sqref="L2:L46 L48">
    <cfRule type="cellIs" priority="1" operator="lessThan" dxfId="0">
      <formula>0</formula>
    </cfRule>
  </conditionalFormatting>
  <pageMargins left="0.7" right="0.7" top="0.75" bottom="0.75" header="0.3" footer="0.3"/>
  <pageSetup orientation="landscape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15"/>
  <sheetViews>
    <sheetView workbookViewId="0">
      <selection activeCell="I16" sqref="I16"/>
    </sheetView>
  </sheetViews>
  <sheetFormatPr baseColWidth="8" defaultColWidth="9.140625" defaultRowHeight="15"/>
  <cols>
    <col width="3.7109375" customWidth="1" min="1" max="1"/>
    <col width="7.5703125" customWidth="1" min="2" max="2"/>
    <col width="23.28515625" customWidth="1" min="3" max="3"/>
    <col width="39" bestFit="1" customWidth="1" min="4" max="4"/>
    <col width="23.85546875" bestFit="1" customWidth="1" min="5" max="5"/>
    <col width="16.7109375" customWidth="1" min="6" max="6"/>
    <col width="28.140625" customWidth="1" min="7" max="7"/>
    <col width="13.140625" customWidth="1" min="8" max="8"/>
    <col width="12.5703125" customWidth="1" min="9" max="9"/>
    <col width="11.28515625" customWidth="1" min="10" max="10"/>
    <col width="9.7109375" customWidth="1" min="11" max="11"/>
    <col width="13.42578125" customWidth="1" min="12" max="12"/>
    <col width="13.7109375" customWidth="1" min="13" max="13"/>
    <col width="14.28515625" customWidth="1" min="14" max="14"/>
    <col width="21.5703125" bestFit="1" customWidth="1" min="15" max="15"/>
    <col width="10.42578125" bestFit="1" customWidth="1" min="17" max="17"/>
    <col width="13.7109375" bestFit="1" customWidth="1" min="19" max="19"/>
    <col width="11.85546875" customWidth="1" min="20" max="20"/>
  </cols>
  <sheetData>
    <row r="1" ht="12.75" customFormat="1" customHeight="1" s="25">
      <c r="B1" s="24" t="n"/>
      <c r="C1" s="30" t="n"/>
      <c r="D1" s="30" t="n"/>
      <c r="E1" s="29" t="n"/>
      <c r="F1" s="26" t="n"/>
      <c r="G1" s="24" t="n"/>
      <c r="H1" s="24" t="n"/>
      <c r="I1" s="24" t="n"/>
      <c r="J1" s="24" t="n"/>
      <c r="K1" s="24" t="n"/>
      <c r="M1" s="29" t="n"/>
      <c r="N1" s="29" t="n"/>
    </row>
    <row r="2" ht="25.5" customFormat="1" customHeight="1" s="50">
      <c r="B2" s="51" t="inlineStr">
        <is>
          <t>Nr</t>
        </is>
      </c>
      <c r="C2" s="52" t="inlineStr">
        <is>
          <t>CAT</t>
        </is>
      </c>
      <c r="D2" s="52" t="inlineStr">
        <is>
          <t>Description</t>
        </is>
      </c>
      <c r="E2" s="52" t="inlineStr">
        <is>
          <t>Ordinante</t>
        </is>
      </c>
      <c r="F2" s="52" t="inlineStr">
        <is>
          <t>Partner</t>
        </is>
      </c>
      <c r="G2" s="53" t="inlineStr">
        <is>
          <t>Beneficiario</t>
        </is>
      </c>
      <c r="H2" s="52" t="inlineStr">
        <is>
          <t>Date Comptable</t>
        </is>
      </c>
      <c r="I2" s="52" t="inlineStr">
        <is>
          <t>Date Valeur</t>
        </is>
      </c>
      <c r="J2" s="236" t="inlineStr">
        <is>
          <t>Montant</t>
        </is>
      </c>
      <c r="K2" s="236" t="inlineStr">
        <is>
          <t>TVA</t>
        </is>
      </c>
      <c r="L2" s="236" t="inlineStr">
        <is>
          <t>Total</t>
        </is>
      </c>
      <c r="M2" s="52" t="inlineStr">
        <is>
          <t>Totale</t>
        </is>
      </c>
      <c r="N2" s="62" t="inlineStr">
        <is>
          <t>Progressivo</t>
        </is>
      </c>
    </row>
    <row r="3" customFormat="1" s="25">
      <c r="B3" s="155" t="n">
        <v>1</v>
      </c>
      <c r="C3" s="156" t="inlineStr">
        <is>
          <t>Frais Administratives</t>
        </is>
      </c>
      <c r="D3" s="156" t="inlineStr">
        <is>
          <t>Immatriculation - Frais administratifs</t>
        </is>
      </c>
      <c r="E3" s="156" t="inlineStr">
        <is>
          <t>Green Enerbras One SCSp</t>
        </is>
      </c>
      <c r="F3" s="157" t="inlineStr">
        <is>
          <t>Edoardo Tubia</t>
        </is>
      </c>
      <c r="G3" s="157" t="inlineStr">
        <is>
          <t>RCS Luxembourg</t>
        </is>
      </c>
      <c r="H3" s="158" t="n">
        <v>45747</v>
      </c>
      <c r="I3" s="158" t="n">
        <v>45902</v>
      </c>
      <c r="J3" s="237" t="n">
        <v>-105.91</v>
      </c>
      <c r="K3" s="160" t="n">
        <v>0.17</v>
      </c>
      <c r="L3" s="237">
        <f>J3*K3</f>
        <v/>
      </c>
      <c r="M3" s="237">
        <f>J3+L3</f>
        <v/>
      </c>
      <c r="N3" s="238">
        <f>M3</f>
        <v/>
      </c>
    </row>
    <row r="4" customFormat="1" s="25">
      <c r="B4" s="31">
        <f>B3+1</f>
        <v/>
      </c>
      <c r="C4" s="25" t="inlineStr">
        <is>
          <t>Frais Administratives</t>
        </is>
      </c>
      <c r="D4" s="25" t="inlineStr">
        <is>
          <t>Frais d'Extrait RCS</t>
        </is>
      </c>
      <c r="E4" s="25" t="inlineStr">
        <is>
          <t>Green Enerbras One SCSp</t>
        </is>
      </c>
      <c r="F4" s="47" t="inlineStr">
        <is>
          <t>Edoardo Tubia</t>
        </is>
      </c>
      <c r="G4" s="47" t="inlineStr">
        <is>
          <t>RCS Luxembourg</t>
        </is>
      </c>
      <c r="H4" s="32" t="n">
        <v>45747</v>
      </c>
      <c r="I4" s="32" t="n">
        <v>45902</v>
      </c>
      <c r="J4" s="211" t="n">
        <v>-12</v>
      </c>
      <c r="K4" s="21" t="n">
        <v>0</v>
      </c>
      <c r="L4" s="211">
        <f>J4*K4</f>
        <v/>
      </c>
      <c r="M4" s="211">
        <f>J4+L4</f>
        <v/>
      </c>
      <c r="N4" s="239">
        <f>N3+M4</f>
        <v/>
      </c>
    </row>
    <row r="5" customFormat="1" s="25">
      <c r="B5" s="31">
        <f>B4+1</f>
        <v/>
      </c>
      <c r="C5" s="25" t="inlineStr">
        <is>
          <t>Frais Administratives</t>
        </is>
      </c>
      <c r="D5" s="25" t="inlineStr">
        <is>
          <t>Frais d'Extrait RCS - Papier Sécurisé</t>
        </is>
      </c>
      <c r="E5" s="25" t="inlineStr">
        <is>
          <t>Green Enerbras One SCSp</t>
        </is>
      </c>
      <c r="F5" s="47" t="inlineStr">
        <is>
          <t>Edoardo Tubia</t>
        </is>
      </c>
      <c r="G5" s="47" t="inlineStr">
        <is>
          <t>RCS Luxembourg</t>
        </is>
      </c>
      <c r="H5" s="32" t="n">
        <v>45754</v>
      </c>
      <c r="I5" s="32" t="n">
        <v>45902</v>
      </c>
      <c r="J5" s="211" t="n">
        <v>-21.43</v>
      </c>
      <c r="K5" s="21" t="n">
        <v>0.17</v>
      </c>
      <c r="L5" s="211">
        <f>J5*K5</f>
        <v/>
      </c>
      <c r="M5" s="211">
        <f>J5+L5</f>
        <v/>
      </c>
      <c r="N5" s="239">
        <f>N4+M5</f>
        <v/>
      </c>
    </row>
    <row r="6" customFormat="1" s="25">
      <c r="B6" s="31">
        <f>B5+1</f>
        <v/>
      </c>
      <c r="C6" s="25" t="inlineStr">
        <is>
          <t>Frais Administratives</t>
        </is>
      </c>
      <c r="D6" s="25" t="inlineStr">
        <is>
          <t>Inscription au RBE des Bénéficiaires effectifs</t>
        </is>
      </c>
      <c r="E6" s="25" t="inlineStr">
        <is>
          <t>Green Enerbras One SCSp</t>
        </is>
      </c>
      <c r="F6" s="47" t="inlineStr">
        <is>
          <t>Edoardo Tubia</t>
        </is>
      </c>
      <c r="G6" s="47" t="inlineStr">
        <is>
          <t>RCS Luxembourg</t>
        </is>
      </c>
      <c r="H6" s="32" t="n">
        <v>45754</v>
      </c>
      <c r="I6" s="32" t="n">
        <v>45902</v>
      </c>
      <c r="J6" s="211" t="n">
        <v>-15</v>
      </c>
      <c r="K6" s="21" t="n">
        <v>0.17</v>
      </c>
      <c r="L6" s="211">
        <f>J6*K6</f>
        <v/>
      </c>
      <c r="M6" s="211">
        <f>J6+L6</f>
        <v/>
      </c>
      <c r="N6" s="239">
        <f>N5+M6</f>
        <v/>
      </c>
    </row>
    <row r="7" customFormat="1" s="25">
      <c r="B7" s="31">
        <f>B6+1</f>
        <v/>
      </c>
      <c r="C7" s="25" t="inlineStr">
        <is>
          <t>Frais Administratives</t>
        </is>
      </c>
      <c r="D7" s="25" t="inlineStr">
        <is>
          <t>Légalisation et apostille sur documentation</t>
        </is>
      </c>
      <c r="E7" s="25" t="inlineStr">
        <is>
          <t>Green Enerbras One SCSp</t>
        </is>
      </c>
      <c r="F7" s="47" t="inlineStr">
        <is>
          <t>Edoardo Tubia</t>
        </is>
      </c>
      <c r="G7" s="47" t="inlineStr">
        <is>
          <t>Ministère des Affaires Etrangères et Européennes</t>
        </is>
      </c>
      <c r="H7" s="32" t="n">
        <v>45754</v>
      </c>
      <c r="I7" s="32" t="n">
        <v>45902</v>
      </c>
      <c r="J7" s="211" t="n">
        <v>-60</v>
      </c>
      <c r="K7" s="21" t="n">
        <v>0</v>
      </c>
      <c r="L7" s="211">
        <f>J7*K7</f>
        <v/>
      </c>
      <c r="M7" s="211">
        <f>J7+L7</f>
        <v/>
      </c>
      <c r="N7" s="239">
        <f>N6+M7</f>
        <v/>
      </c>
    </row>
    <row r="8" customFormat="1" s="25">
      <c r="B8" s="31">
        <f>B7+1</f>
        <v/>
      </c>
      <c r="C8" s="25" t="inlineStr">
        <is>
          <t>Frais Administratives</t>
        </is>
      </c>
      <c r="D8" s="25" t="inlineStr">
        <is>
          <t>Légalisation et apostille sur documentation</t>
        </is>
      </c>
      <c r="E8" s="25" t="inlineStr">
        <is>
          <t>Green Enerbras One SCSp</t>
        </is>
      </c>
      <c r="F8" s="47" t="inlineStr">
        <is>
          <t>Edoardo Tubia</t>
        </is>
      </c>
      <c r="G8" s="47" t="inlineStr">
        <is>
          <t>Ministère des Affaires Etrangères et Européennes</t>
        </is>
      </c>
      <c r="H8" s="32" t="n">
        <v>45755</v>
      </c>
      <c r="I8" s="32" t="n">
        <v>45902</v>
      </c>
      <c r="J8" s="211" t="n">
        <v>-40</v>
      </c>
      <c r="K8" s="21" t="n">
        <v>0</v>
      </c>
      <c r="L8" s="211">
        <f>J8*K8</f>
        <v/>
      </c>
      <c r="M8" s="211">
        <f>J8+L8</f>
        <v/>
      </c>
      <c r="N8" s="239">
        <f>N7+M8</f>
        <v/>
      </c>
    </row>
    <row r="9" customFormat="1" s="25">
      <c r="B9" s="31">
        <f>B8+1</f>
        <v/>
      </c>
      <c r="C9" s="25" t="inlineStr">
        <is>
          <t>Frais Administratives</t>
        </is>
      </c>
      <c r="D9" s="25" t="inlineStr">
        <is>
          <t>Légalisation documentation</t>
        </is>
      </c>
      <c r="E9" s="25" t="inlineStr">
        <is>
          <t>Green Enerbras One SCSp</t>
        </is>
      </c>
      <c r="F9" s="47" t="inlineStr">
        <is>
          <t>Edoardo Tubia</t>
        </is>
      </c>
      <c r="G9" s="47" t="inlineStr">
        <is>
          <t>Notaire Martine Schaeffer</t>
        </is>
      </c>
      <c r="H9" s="32" t="n">
        <v>45779</v>
      </c>
      <c r="I9" s="32" t="n">
        <v>45902</v>
      </c>
      <c r="J9" s="211" t="n">
        <v>-25.64</v>
      </c>
      <c r="K9" s="21" t="n">
        <v>0.17</v>
      </c>
      <c r="L9" s="211">
        <f>J9*K9</f>
        <v/>
      </c>
      <c r="M9" s="211">
        <f>J9+L9</f>
        <v/>
      </c>
      <c r="N9" s="239">
        <f>N8+M9</f>
        <v/>
      </c>
    </row>
    <row r="10" customFormat="1" s="25">
      <c r="B10" s="31">
        <f>B9+1</f>
        <v/>
      </c>
      <c r="C10" s="25" t="inlineStr">
        <is>
          <t>Frais Administratives</t>
        </is>
      </c>
      <c r="D10" s="25" t="inlineStr">
        <is>
          <t>Légalisation documentation</t>
        </is>
      </c>
      <c r="E10" s="25" t="inlineStr">
        <is>
          <t>Green Enerbras One SCSp</t>
        </is>
      </c>
      <c r="F10" s="47" t="inlineStr">
        <is>
          <t>Edoardo Tubia</t>
        </is>
      </c>
      <c r="G10" s="47" t="inlineStr">
        <is>
          <t>Notaire Martine Schaeffer</t>
        </is>
      </c>
      <c r="H10" s="32" t="n">
        <v>45796</v>
      </c>
      <c r="I10" s="32" t="n">
        <v>45902</v>
      </c>
      <c r="J10" s="211" t="n">
        <v>-96.92</v>
      </c>
      <c r="K10" s="21" t="n">
        <v>0.17</v>
      </c>
      <c r="L10" s="211">
        <f>J10*K10</f>
        <v/>
      </c>
      <c r="M10" s="211">
        <f>J10+L10</f>
        <v/>
      </c>
      <c r="N10" s="239">
        <f>N9+M10</f>
        <v/>
      </c>
    </row>
    <row r="11" customFormat="1" s="25">
      <c r="B11" s="31">
        <f>B10+1</f>
        <v/>
      </c>
      <c r="C11" s="25" t="inlineStr">
        <is>
          <t>Frais Administratives</t>
        </is>
      </c>
      <c r="D11" s="25" t="inlineStr">
        <is>
          <t>Légalisation documentation</t>
        </is>
      </c>
      <c r="E11" s="25" t="inlineStr">
        <is>
          <t>Green Enerbras One SCSp</t>
        </is>
      </c>
      <c r="F11" s="47" t="inlineStr">
        <is>
          <t>Edoardo Tubia</t>
        </is>
      </c>
      <c r="G11" s="47" t="inlineStr">
        <is>
          <t>Notaire Martine Schaeffer</t>
        </is>
      </c>
      <c r="H11" s="32" t="n">
        <v>45796</v>
      </c>
      <c r="I11" s="32" t="n">
        <v>45902</v>
      </c>
      <c r="J11" s="211" t="n">
        <v>-60</v>
      </c>
      <c r="K11" s="21" t="n">
        <v>0</v>
      </c>
      <c r="L11" s="211">
        <f>J11*K11</f>
        <v/>
      </c>
      <c r="M11" s="211">
        <f>J11+L11</f>
        <v/>
      </c>
      <c r="N11" s="239">
        <f>N10+M11</f>
        <v/>
      </c>
    </row>
    <row r="12" customFormat="1" s="25">
      <c r="B12" s="31">
        <f>B11+1</f>
        <v/>
      </c>
      <c r="C12" s="25" t="inlineStr">
        <is>
          <t>Frais Administratives</t>
        </is>
      </c>
      <c r="D12" s="25" t="inlineStr">
        <is>
          <t>Inscription au RBE des Bénéficiaires effectifs</t>
        </is>
      </c>
      <c r="E12" s="25" t="inlineStr">
        <is>
          <t>Green Enerbras One SCSp</t>
        </is>
      </c>
      <c r="F12" s="47" t="inlineStr">
        <is>
          <t>Edoardo Tubia</t>
        </is>
      </c>
      <c r="G12" s="47" t="inlineStr">
        <is>
          <t>RCS Luxembourg</t>
        </is>
      </c>
      <c r="H12" s="32" t="n">
        <v>45854</v>
      </c>
      <c r="I12" s="32" t="n">
        <v>45902</v>
      </c>
      <c r="J12" s="211" t="n">
        <v>-15</v>
      </c>
      <c r="K12" s="21" t="n">
        <v>0.17</v>
      </c>
      <c r="L12" s="211">
        <f>J12*K12</f>
        <v/>
      </c>
      <c r="M12" s="211">
        <f>J12+L12</f>
        <v/>
      </c>
      <c r="N12" s="239">
        <f>N11+M12</f>
        <v/>
      </c>
    </row>
    <row r="13" customFormat="1" s="25">
      <c r="B13" s="148">
        <f>B12+1</f>
        <v/>
      </c>
      <c r="C13" s="150" t="inlineStr">
        <is>
          <t>Frais Administratives</t>
        </is>
      </c>
      <c r="D13" s="150" t="inlineStr">
        <is>
          <t>Remboursement des Frais avancés par Edoardo Tubia</t>
        </is>
      </c>
      <c r="E13" s="150" t="inlineStr">
        <is>
          <t>Green Enerbras One SCSp</t>
        </is>
      </c>
      <c r="F13" s="152" t="n"/>
      <c r="G13" s="152" t="inlineStr">
        <is>
          <t>Edoardo Tubia</t>
        </is>
      </c>
      <c r="H13" s="149" t="n">
        <v>45902</v>
      </c>
      <c r="I13" s="149" t="n">
        <v>45902</v>
      </c>
      <c r="J13" s="220">
        <f>-SUM(J3:J12)</f>
        <v/>
      </c>
      <c r="K13" s="164" t="n">
        <v>0.17</v>
      </c>
      <c r="L13" s="220">
        <f>-SUM(L3:L12)</f>
        <v/>
      </c>
      <c r="M13" s="220">
        <f>-SUM(M3:M12)</f>
        <v/>
      </c>
      <c r="N13" s="240">
        <f>N12+M13</f>
        <v/>
      </c>
    </row>
    <row r="14" customFormat="1" s="25">
      <c r="B14" s="155">
        <f>B13+1</f>
        <v/>
      </c>
      <c r="C14" s="156" t="inlineStr">
        <is>
          <t>Frais Administratives</t>
        </is>
      </c>
      <c r="D14" s="156" t="inlineStr">
        <is>
          <t>Inscription au RBE des Bénéficiaires effectifs</t>
        </is>
      </c>
      <c r="E14" s="156" t="inlineStr">
        <is>
          <t>Green Enerbras One SCSp</t>
        </is>
      </c>
      <c r="F14" s="157" t="inlineStr">
        <is>
          <t>Edoardo Tubia</t>
        </is>
      </c>
      <c r="G14" s="157" t="inlineStr">
        <is>
          <t>RCS Luxembourg</t>
        </is>
      </c>
      <c r="H14" s="158" t="n">
        <v>46014</v>
      </c>
      <c r="I14" s="158" t="n">
        <v>46139</v>
      </c>
      <c r="J14" s="237" t="n">
        <v>-15</v>
      </c>
      <c r="K14" s="160" t="n">
        <v>0.17</v>
      </c>
      <c r="L14" s="237">
        <f>J14*K14</f>
        <v/>
      </c>
      <c r="M14" s="237">
        <f>J14+L14</f>
        <v/>
      </c>
      <c r="N14" s="238">
        <f>N13+M14</f>
        <v/>
      </c>
    </row>
    <row r="15" customFormat="1" s="25">
      <c r="B15" s="148">
        <f>B14+1</f>
        <v/>
      </c>
      <c r="C15" s="150" t="inlineStr">
        <is>
          <t>Frais Administratives</t>
        </is>
      </c>
      <c r="D15" s="150" t="inlineStr">
        <is>
          <t>Remboursement des Frais avancés par Edoardo Tubia</t>
        </is>
      </c>
      <c r="E15" s="150" t="inlineStr">
        <is>
          <t>Green Enerbras One SCSp</t>
        </is>
      </c>
      <c r="F15" s="152" t="n"/>
      <c r="G15" s="152" t="inlineStr">
        <is>
          <t>Edoardo Tubia</t>
        </is>
      </c>
      <c r="H15" s="149" t="n">
        <v>46139</v>
      </c>
      <c r="I15" s="149" t="n">
        <v>46139</v>
      </c>
      <c r="J15" s="220" t="n">
        <v>15</v>
      </c>
      <c r="K15" s="164" t="n">
        <v>0.17</v>
      </c>
      <c r="L15" s="220">
        <f>J15*K15</f>
        <v/>
      </c>
      <c r="M15" s="220">
        <f>J15+L15</f>
        <v/>
      </c>
      <c r="N15" s="240">
        <f>N14+M15</f>
        <v/>
      </c>
    </row>
  </sheetData>
  <pageMargins left="0.7" right="0.7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45"/>
  <sheetViews>
    <sheetView topLeftCell="A13" workbookViewId="0">
      <selection activeCell="I47" sqref="I47"/>
    </sheetView>
  </sheetViews>
  <sheetFormatPr baseColWidth="8" defaultColWidth="9.140625" defaultRowHeight="15"/>
  <cols>
    <col width="2.85546875" customWidth="1" min="1" max="1"/>
    <col width="5.5703125" customWidth="1" min="2" max="2"/>
    <col width="30.28515625" customWidth="1" min="3" max="3"/>
    <col width="16" customWidth="1" style="241" min="4" max="4"/>
    <col width="12.42578125" customWidth="1" style="9" min="5" max="5"/>
    <col width="15.85546875" customWidth="1" style="241" min="6" max="6"/>
    <col width="17.85546875" customWidth="1" min="7" max="7"/>
    <col width="3.140625" customWidth="1" min="8" max="8"/>
    <col width="24" customWidth="1" min="9" max="9"/>
    <col width="11.7109375" customWidth="1" style="9" min="10" max="10"/>
    <col width="15.85546875" customWidth="1" style="9" min="11" max="11"/>
    <col width="14.140625" customWidth="1" style="9" min="12" max="12"/>
    <col width="12.85546875" customWidth="1" style="9" min="13" max="13"/>
    <col width="12.5703125" customWidth="1" min="14" max="14"/>
    <col width="2.28515625" customWidth="1" min="15" max="15"/>
  </cols>
  <sheetData>
    <row r="1" ht="18.75" customHeight="1">
      <c r="B1" s="242" t="inlineStr">
        <is>
          <t>PARTNER'S REGISTER</t>
        </is>
      </c>
      <c r="C1" s="243" t="n"/>
      <c r="D1" s="243" t="n"/>
      <c r="E1" s="243" t="n"/>
      <c r="F1" s="243" t="n"/>
      <c r="G1" s="199" t="n"/>
      <c r="H1" s="242" t="inlineStr">
        <is>
          <t>GENERAL PARTNER'S REMUNERATION</t>
        </is>
      </c>
      <c r="I1" s="243" t="n"/>
      <c r="J1" s="243" t="n"/>
      <c r="K1" s="243" t="n"/>
      <c r="L1" s="243" t="n"/>
      <c r="M1" s="243" t="n"/>
      <c r="N1" s="243" t="n"/>
      <c r="O1" s="199" t="n"/>
    </row>
    <row r="2" ht="18.75" customHeight="1">
      <c r="B2" s="76" t="n"/>
      <c r="C2" s="106" t="n"/>
      <c r="D2" s="107" t="n"/>
      <c r="E2" s="108" t="n"/>
      <c r="F2" s="107" t="inlineStr">
        <is>
          <t>"ANNEX A"</t>
        </is>
      </c>
      <c r="G2" s="109" t="n"/>
      <c r="O2" s="109" t="n"/>
    </row>
    <row r="3" ht="15.75" customHeight="1">
      <c r="B3" s="110" t="n"/>
      <c r="G3" s="109" t="n"/>
      <c r="H3" s="76" t="n"/>
      <c r="O3" s="109" t="n"/>
    </row>
    <row r="4" ht="18.75" customFormat="1" customHeight="1" s="114">
      <c r="B4" s="112" t="n"/>
      <c r="C4" s="106" t="inlineStr">
        <is>
          <t>GREEN ENERBRAS ONE SCSp - Luxembourg</t>
        </is>
      </c>
      <c r="D4" s="113" t="n"/>
      <c r="F4" s="113" t="inlineStr">
        <is>
          <t xml:space="preserve">RCS: </t>
        </is>
      </c>
      <c r="G4" s="115" t="inlineStr">
        <is>
          <t xml:space="preserve"> B 295061</t>
        </is>
      </c>
      <c r="H4" s="112" t="n"/>
      <c r="I4" s="106" t="inlineStr">
        <is>
          <t>Participation Fee</t>
        </is>
      </c>
      <c r="J4" s="171" t="n"/>
      <c r="K4" s="171" t="n"/>
      <c r="L4" s="171" t="n"/>
      <c r="M4" s="171" t="n"/>
      <c r="N4" s="116" t="n">
        <v>0.02</v>
      </c>
      <c r="O4" s="117" t="n"/>
    </row>
    <row r="5" ht="18.75" customFormat="1" customHeight="1" s="114">
      <c r="B5" s="112" t="n"/>
      <c r="C5" s="106" t="n"/>
      <c r="D5" s="113" t="n"/>
      <c r="F5" s="118" t="inlineStr">
        <is>
          <t>Tax Id. number:</t>
        </is>
      </c>
      <c r="G5" s="119" t="inlineStr">
        <is>
          <t>2025 5805 747</t>
        </is>
      </c>
      <c r="H5" s="112" t="n"/>
      <c r="J5" s="171" t="n"/>
      <c r="K5" s="171" t="n"/>
      <c r="L5" s="171" t="n"/>
      <c r="M5" s="171" t="n"/>
      <c r="O5" s="117" t="n"/>
    </row>
    <row r="6">
      <c r="B6" s="120" t="n"/>
      <c r="C6" s="19" t="n"/>
      <c r="D6" s="244" t="n"/>
      <c r="E6" s="122" t="n"/>
      <c r="F6" s="244" t="n"/>
      <c r="G6" s="79" t="n"/>
      <c r="H6" s="76" t="n"/>
      <c r="O6" s="109" t="n"/>
    </row>
    <row r="7" ht="30" customFormat="1" customHeight="1" s="127">
      <c r="B7" s="123" t="inlineStr">
        <is>
          <t>Nr</t>
        </is>
      </c>
      <c r="C7" s="123" t="inlineStr">
        <is>
          <t>PARTNERS</t>
        </is>
      </c>
      <c r="D7" s="245" t="inlineStr">
        <is>
          <t>PARTNER'S CONTRIBUTION</t>
        </is>
      </c>
      <c r="E7" s="125" t="inlineStr">
        <is>
          <t>Payment's date</t>
        </is>
      </c>
      <c r="F7" s="245" t="inlineStr">
        <is>
          <t>PAID CONTRIBUTION</t>
        </is>
      </c>
      <c r="G7" s="123" t="inlineStr">
        <is>
          <t>Detention %</t>
        </is>
      </c>
      <c r="H7" s="126" t="n"/>
      <c r="O7" s="128" t="n"/>
    </row>
    <row r="8">
      <c r="B8" s="129" t="n"/>
      <c r="C8" s="85" t="n"/>
      <c r="E8" s="130" t="n"/>
      <c r="G8" s="109" t="n"/>
      <c r="H8" s="76" t="n"/>
      <c r="O8" s="109" t="n"/>
    </row>
    <row r="9" ht="15.75" customHeight="1">
      <c r="B9" s="129" t="n"/>
      <c r="C9" s="131" t="inlineStr">
        <is>
          <t>COMMANDITE - General Partner</t>
        </is>
      </c>
      <c r="E9" s="132" t="n"/>
      <c r="G9" s="109" t="n"/>
      <c r="H9" s="76" t="n"/>
      <c r="O9" s="109" t="n"/>
    </row>
    <row r="10" ht="15.75" customHeight="1">
      <c r="B10" s="129" t="n"/>
      <c r="C10" s="131" t="n"/>
      <c r="E10" s="132" t="n"/>
      <c r="G10" s="109" t="n"/>
      <c r="H10" s="76" t="n"/>
      <c r="O10" s="109" t="n"/>
    </row>
    <row r="11" ht="15.75" customHeight="1">
      <c r="B11" s="133" t="n">
        <v>1</v>
      </c>
      <c r="C11" s="134" t="inlineStr">
        <is>
          <t>NEW LIFE SARL - Luxembourg</t>
        </is>
      </c>
      <c r="D11" s="246" t="n">
        <v>1000</v>
      </c>
      <c r="E11" s="136" t="n">
        <v>45898</v>
      </c>
      <c r="F11" s="246" t="n">
        <v>1000</v>
      </c>
      <c r="G11" s="247">
        <f>D11/$D$44</f>
        <v/>
      </c>
      <c r="H11" s="76" t="n"/>
      <c r="O11" s="109" t="n"/>
    </row>
    <row r="12" ht="5.25" customHeight="1">
      <c r="B12" s="138" t="n"/>
      <c r="C12" s="139" t="n"/>
      <c r="D12" s="248" t="n"/>
      <c r="E12" s="141" t="n"/>
      <c r="F12" s="248" t="n"/>
      <c r="G12" s="249" t="n"/>
      <c r="H12" s="76" t="n"/>
      <c r="O12" s="109" t="n"/>
    </row>
    <row r="13" ht="15.75" customHeight="1">
      <c r="B13" s="133" t="n"/>
      <c r="C13" s="143" t="inlineStr">
        <is>
          <t>TOTAL "Commandités"</t>
        </is>
      </c>
      <c r="D13" s="246">
        <f>SUM(D11)</f>
        <v/>
      </c>
      <c r="F13" s="246">
        <f>SUM(F11)</f>
        <v/>
      </c>
      <c r="G13" s="247">
        <f>SUM(G11)</f>
        <v/>
      </c>
      <c r="H13" s="76" t="n"/>
      <c r="O13" s="109" t="n"/>
    </row>
    <row r="14" ht="6.75" customHeight="1">
      <c r="B14" s="133" t="n"/>
      <c r="C14" s="134" t="n"/>
      <c r="D14" s="246" t="n"/>
      <c r="E14" s="108" t="n"/>
      <c r="F14" s="246" t="n"/>
      <c r="G14" s="247" t="n"/>
      <c r="H14" s="76" t="n"/>
      <c r="O14" s="109" t="n"/>
    </row>
    <row r="15" ht="15.75" customHeight="1">
      <c r="B15" s="129" t="n"/>
      <c r="C15" s="131" t="inlineStr">
        <is>
          <t>COMMANDITAIRES - Limited Partners</t>
        </is>
      </c>
      <c r="E15" s="132" t="n"/>
      <c r="G15" s="109" t="n"/>
      <c r="H15" s="76" t="n"/>
      <c r="I15" s="123" t="inlineStr">
        <is>
          <t>Limited Partner</t>
        </is>
      </c>
      <c r="J15" s="123" t="inlineStr">
        <is>
          <t>Invoice</t>
        </is>
      </c>
      <c r="K15" s="123" t="inlineStr">
        <is>
          <t>Payment's date</t>
        </is>
      </c>
      <c r="L15" s="123" t="inlineStr">
        <is>
          <t>Net</t>
        </is>
      </c>
      <c r="M15" s="123" t="inlineStr">
        <is>
          <t>TVA</t>
        </is>
      </c>
      <c r="N15" s="123" t="inlineStr">
        <is>
          <t>Amount</t>
        </is>
      </c>
      <c r="O15" s="109" t="n"/>
    </row>
    <row r="16" ht="15.75" customHeight="1">
      <c r="B16" s="129" t="n"/>
      <c r="C16" s="131" t="n"/>
      <c r="E16" s="132" t="n"/>
      <c r="G16" s="109" t="n"/>
      <c r="H16" s="76" t="n"/>
      <c r="M16" s="184" t="n">
        <v>0.17</v>
      </c>
      <c r="O16" s="109" t="n"/>
    </row>
    <row r="17" ht="15.75" customHeight="1">
      <c r="B17" s="129" t="n"/>
      <c r="C17" s="131" t="n"/>
      <c r="E17" s="132" t="n"/>
      <c r="G17" s="109" t="n"/>
      <c r="H17" s="76" t="n"/>
      <c r="O17" s="109" t="n"/>
    </row>
    <row r="18" ht="15.75" customHeight="1">
      <c r="B18" s="133" t="n">
        <v>2</v>
      </c>
      <c r="C18" s="134" t="inlineStr">
        <is>
          <t>Edoardo TUBIA</t>
        </is>
      </c>
      <c r="D18" s="246" t="n">
        <v>40000</v>
      </c>
      <c r="E18" s="136" t="n">
        <v>45901</v>
      </c>
      <c r="F18" s="246" t="n">
        <v>10000</v>
      </c>
      <c r="G18" s="247" t="n"/>
      <c r="H18" s="76" t="n"/>
      <c r="I18" s="85">
        <f>C18</f>
        <v/>
      </c>
      <c r="J18" s="9" t="inlineStr">
        <is>
          <t>013/2026</t>
        </is>
      </c>
      <c r="K18" s="6" t="n">
        <v>46048</v>
      </c>
      <c r="L18" s="246" t="n">
        <v>170.94</v>
      </c>
      <c r="M18" s="246">
        <f>L18*$M$16</f>
        <v/>
      </c>
      <c r="N18" s="246">
        <f>F18*$N$4</f>
        <v/>
      </c>
      <c r="O18" s="109" t="n"/>
    </row>
    <row r="19" ht="15.75" customHeight="1">
      <c r="B19" s="133" t="n"/>
      <c r="C19" s="134" t="n"/>
      <c r="D19" s="246" t="n"/>
      <c r="E19" s="136" t="n">
        <v>45909</v>
      </c>
      <c r="F19" s="246" t="n">
        <v>10000</v>
      </c>
      <c r="G19" s="247" t="n"/>
      <c r="H19" s="76" t="n"/>
      <c r="J19" s="9" t="inlineStr">
        <is>
          <t>013/2026</t>
        </is>
      </c>
      <c r="K19" s="6" t="n">
        <v>46048</v>
      </c>
      <c r="L19" s="246" t="n">
        <v>170.94</v>
      </c>
      <c r="M19" s="246">
        <f>L19*$M$16</f>
        <v/>
      </c>
      <c r="N19" s="246">
        <f>F19*$N$4</f>
        <v/>
      </c>
      <c r="O19" s="109" t="n"/>
    </row>
    <row r="20" ht="15.75" customHeight="1">
      <c r="B20" s="133" t="n"/>
      <c r="C20" s="134" t="n"/>
      <c r="D20" s="246" t="n"/>
      <c r="E20" s="136" t="n">
        <v>45931</v>
      </c>
      <c r="F20" s="246" t="n">
        <v>20000</v>
      </c>
      <c r="G20" s="247">
        <f>D18/$D$44</f>
        <v/>
      </c>
      <c r="H20" s="76" t="n"/>
      <c r="J20" s="9" t="inlineStr">
        <is>
          <t>013/2026</t>
        </is>
      </c>
      <c r="K20" s="6" t="n">
        <v>46048</v>
      </c>
      <c r="L20" s="246" t="n">
        <v>341.88</v>
      </c>
      <c r="M20" s="246">
        <f>L20*$M$16</f>
        <v/>
      </c>
      <c r="N20" s="246">
        <f>F20*$N$4</f>
        <v/>
      </c>
      <c r="O20" s="109" t="n"/>
    </row>
    <row r="21" ht="9" customHeight="1">
      <c r="B21" s="133" t="n"/>
      <c r="C21" s="134" t="n"/>
      <c r="D21" s="246" t="n"/>
      <c r="E21" s="136" t="n"/>
      <c r="F21" s="246" t="n"/>
      <c r="G21" s="247" t="n"/>
      <c r="H21" s="76" t="n"/>
      <c r="O21" s="109" t="n"/>
    </row>
    <row r="22" ht="15.75" customHeight="1">
      <c r="B22" s="133" t="n">
        <v>3</v>
      </c>
      <c r="C22" s="134" t="inlineStr">
        <is>
          <t>Silvia TUBIA</t>
        </is>
      </c>
      <c r="D22" s="246" t="n">
        <v>20000</v>
      </c>
      <c r="E22" s="136" t="n">
        <v>45929</v>
      </c>
      <c r="F22" s="246">
        <f>D22</f>
        <v/>
      </c>
      <c r="G22" s="247">
        <f>D22/$D$44</f>
        <v/>
      </c>
      <c r="H22" s="76" t="n"/>
      <c r="I22" s="85">
        <f>C22</f>
        <v/>
      </c>
      <c r="J22" s="9" t="inlineStr">
        <is>
          <t>013/2026</t>
        </is>
      </c>
      <c r="K22" s="6" t="n">
        <v>46048</v>
      </c>
      <c r="L22" s="246" t="n">
        <v>341.88</v>
      </c>
      <c r="M22" s="246">
        <f>L22*$M$16</f>
        <v/>
      </c>
      <c r="N22" s="246">
        <f>F22*$N$4</f>
        <v/>
      </c>
      <c r="O22" s="109" t="n"/>
    </row>
    <row r="23" ht="9" customHeight="1">
      <c r="B23" s="133" t="n"/>
      <c r="C23" s="134" t="n"/>
      <c r="D23" s="246" t="n"/>
      <c r="E23" s="136" t="n"/>
      <c r="F23" s="246" t="n"/>
      <c r="G23" s="247" t="n"/>
      <c r="H23" s="76" t="n"/>
      <c r="O23" s="109" t="n"/>
    </row>
    <row r="24" ht="15.75" customHeight="1">
      <c r="B24" s="133" t="n">
        <v>4</v>
      </c>
      <c r="C24" s="134" t="inlineStr">
        <is>
          <t>Stefano BERTOZZI</t>
        </is>
      </c>
      <c r="D24" s="246" t="n">
        <v>20000</v>
      </c>
      <c r="E24" s="136" t="n">
        <v>45987</v>
      </c>
      <c r="F24" s="246" t="n">
        <v>20000</v>
      </c>
      <c r="G24" s="247">
        <f>D24/$D$44</f>
        <v/>
      </c>
      <c r="H24" s="76" t="n"/>
      <c r="I24" s="85">
        <f>C24</f>
        <v/>
      </c>
      <c r="J24" s="9" t="inlineStr">
        <is>
          <t>013/2026</t>
        </is>
      </c>
      <c r="K24" s="6" t="n">
        <v>46048</v>
      </c>
      <c r="L24" s="246" t="n">
        <v>341.88</v>
      </c>
      <c r="M24" s="246">
        <f>L24*$M$16</f>
        <v/>
      </c>
      <c r="N24" s="246">
        <f>F24*$N$4</f>
        <v/>
      </c>
      <c r="O24" s="109" t="n"/>
    </row>
    <row r="25" ht="9" customHeight="1">
      <c r="B25" s="133" t="n"/>
      <c r="C25" s="134" t="n"/>
      <c r="D25" s="246" t="n"/>
      <c r="E25" s="136" t="n"/>
      <c r="F25" s="246" t="n"/>
      <c r="G25" s="247" t="n"/>
      <c r="H25" s="76" t="n"/>
      <c r="O25" s="109" t="n"/>
    </row>
    <row r="26" ht="15.75" customHeight="1">
      <c r="B26" s="133" t="n">
        <v>5</v>
      </c>
      <c r="C26" s="134" t="inlineStr">
        <is>
          <t>Maria DE MIGUEL BELLVIS</t>
        </is>
      </c>
      <c r="D26" s="246" t="n">
        <v>20000</v>
      </c>
      <c r="E26" s="136" t="n">
        <v>45987</v>
      </c>
      <c r="F26" s="246" t="n">
        <v>20000</v>
      </c>
      <c r="G26" s="247">
        <f>D26/$D$44</f>
        <v/>
      </c>
      <c r="H26" s="76" t="n"/>
      <c r="I26" s="85">
        <f>C26</f>
        <v/>
      </c>
      <c r="J26" s="9" t="inlineStr">
        <is>
          <t>013/2026</t>
        </is>
      </c>
      <c r="K26" s="6" t="n">
        <v>46048</v>
      </c>
      <c r="L26" s="246" t="n">
        <v>341.88</v>
      </c>
      <c r="M26" s="246">
        <f>L26*$M$16</f>
        <v/>
      </c>
      <c r="N26" s="246">
        <f>F26*$N$4</f>
        <v/>
      </c>
      <c r="O26" s="109" t="n"/>
    </row>
    <row r="27" ht="9" customHeight="1">
      <c r="B27" s="133" t="n"/>
      <c r="C27" s="134" t="n"/>
      <c r="D27" s="246" t="n"/>
      <c r="E27" s="136" t="n"/>
      <c r="F27" s="246" t="n"/>
      <c r="G27" s="247" t="n"/>
      <c r="H27" s="76" t="n"/>
      <c r="O27" s="109" t="n"/>
    </row>
    <row r="28" ht="15.75" customHeight="1">
      <c r="B28" s="133" t="n">
        <v>6</v>
      </c>
      <c r="C28" s="134" t="inlineStr">
        <is>
          <t>Salvatore DESIDERIO</t>
        </is>
      </c>
      <c r="D28" s="246" t="n">
        <v>40000</v>
      </c>
      <c r="E28" s="136" t="n">
        <v>45988</v>
      </c>
      <c r="F28" s="246" t="n">
        <v>40000</v>
      </c>
      <c r="G28" s="247">
        <f>D28/$D$44</f>
        <v/>
      </c>
      <c r="H28" s="76" t="n"/>
      <c r="I28" s="85">
        <f>C28</f>
        <v/>
      </c>
      <c r="J28" s="9" t="inlineStr">
        <is>
          <t>013/2026</t>
        </is>
      </c>
      <c r="K28" s="6" t="n">
        <v>46048</v>
      </c>
      <c r="L28" s="246" t="n">
        <v>683.7619999999999</v>
      </c>
      <c r="M28" s="246">
        <f>L28*$M$16</f>
        <v/>
      </c>
      <c r="N28" s="246">
        <f>F28*$N$4</f>
        <v/>
      </c>
      <c r="O28" s="109" t="n"/>
    </row>
    <row r="29" ht="9" customHeight="1">
      <c r="B29" s="133" t="n"/>
      <c r="C29" s="134" t="n"/>
      <c r="D29" s="246" t="n"/>
      <c r="E29" s="136" t="n"/>
      <c r="F29" s="246" t="n"/>
      <c r="G29" s="247" t="n"/>
      <c r="H29" s="76" t="n"/>
      <c r="O29" s="109" t="n"/>
    </row>
    <row r="30" ht="15.75" customHeight="1">
      <c r="B30" s="133" t="n">
        <v>7</v>
      </c>
      <c r="C30" s="134" t="inlineStr">
        <is>
          <t>Enrico TUBIA</t>
        </is>
      </c>
      <c r="D30" s="246" t="n">
        <v>20000</v>
      </c>
      <c r="E30" s="136" t="n">
        <v>45994</v>
      </c>
      <c r="F30" s="246" t="n">
        <v>20000</v>
      </c>
      <c r="G30" s="247">
        <f>D30/$D$44</f>
        <v/>
      </c>
      <c r="H30" s="76" t="n"/>
      <c r="I30" s="85">
        <f>C30</f>
        <v/>
      </c>
      <c r="J30" s="9" t="inlineStr">
        <is>
          <t>013/2026</t>
        </is>
      </c>
      <c r="K30" s="6" t="n">
        <v>46048</v>
      </c>
      <c r="L30" s="246" t="n">
        <v>341.88</v>
      </c>
      <c r="M30" s="246">
        <f>L30*$M$16</f>
        <v/>
      </c>
      <c r="N30" s="246">
        <f>F30*$N$4</f>
        <v/>
      </c>
      <c r="O30" s="109" t="n"/>
    </row>
    <row r="31" ht="9" customHeight="1">
      <c r="B31" s="133" t="n"/>
      <c r="C31" s="134" t="n"/>
      <c r="D31" s="246" t="n"/>
      <c r="E31" s="136" t="n"/>
      <c r="F31" s="246" t="n"/>
      <c r="G31" s="247" t="n"/>
      <c r="H31" s="76" t="n"/>
      <c r="O31" s="109" t="n"/>
    </row>
    <row r="32" ht="15.75" customHeight="1">
      <c r="B32" s="133" t="n">
        <v>8</v>
      </c>
      <c r="C32" s="134" t="inlineStr">
        <is>
          <t>Greta ZANIBONI</t>
        </is>
      </c>
      <c r="D32" s="246" t="n">
        <v>20000</v>
      </c>
      <c r="E32" s="136" t="n">
        <v>46002</v>
      </c>
      <c r="F32" s="246" t="n">
        <v>20000</v>
      </c>
      <c r="G32" s="247">
        <f>D32/$D$44</f>
        <v/>
      </c>
      <c r="H32" s="76" t="n"/>
      <c r="I32" s="85">
        <f>C32</f>
        <v/>
      </c>
      <c r="J32" s="9" t="inlineStr">
        <is>
          <t>013/2026</t>
        </is>
      </c>
      <c r="K32" s="6" t="n">
        <v>46048</v>
      </c>
      <c r="L32" s="246" t="n">
        <v>341.88</v>
      </c>
      <c r="M32" s="246">
        <f>L32*$M$16</f>
        <v/>
      </c>
      <c r="N32" s="246">
        <f>F32*$N$4</f>
        <v/>
      </c>
      <c r="O32" s="109" t="n"/>
    </row>
    <row r="33" ht="9" customHeight="1">
      <c r="B33" s="133" t="n"/>
      <c r="C33" s="134" t="n"/>
      <c r="D33" s="246" t="n"/>
      <c r="E33" s="136" t="n"/>
      <c r="F33" s="246" t="n"/>
      <c r="G33" s="247" t="n"/>
      <c r="H33" s="76" t="n"/>
      <c r="O33" s="109" t="n"/>
    </row>
    <row r="34" ht="15.75" customHeight="1">
      <c r="B34" s="133" t="n">
        <v>9</v>
      </c>
      <c r="C34" s="134" t="inlineStr">
        <is>
          <t>Elisa ZANIBONI</t>
        </is>
      </c>
      <c r="D34" s="246" t="n">
        <v>20000</v>
      </c>
      <c r="E34" s="136" t="n">
        <v>46000</v>
      </c>
      <c r="F34" s="246" t="n">
        <v>20000</v>
      </c>
      <c r="G34" s="247">
        <f>D34/$D$44</f>
        <v/>
      </c>
      <c r="H34" s="76" t="n"/>
      <c r="I34" s="85">
        <f>C34</f>
        <v/>
      </c>
      <c r="J34" s="9" t="inlineStr">
        <is>
          <t>013/2026</t>
        </is>
      </c>
      <c r="K34" s="6" t="n">
        <v>46048</v>
      </c>
      <c r="L34" s="246" t="n">
        <v>341.88</v>
      </c>
      <c r="M34" s="246">
        <f>L34*$M$16</f>
        <v/>
      </c>
      <c r="N34" s="246">
        <f>F34*$N$4</f>
        <v/>
      </c>
      <c r="O34" s="109" t="n"/>
    </row>
    <row r="35" ht="9" customHeight="1">
      <c r="B35" s="133" t="n"/>
      <c r="C35" s="134" t="n"/>
      <c r="D35" s="246" t="n"/>
      <c r="E35" s="136" t="n"/>
      <c r="F35" s="246" t="n"/>
      <c r="G35" s="247" t="n"/>
      <c r="H35" s="76" t="n"/>
      <c r="O35" s="109" t="n"/>
    </row>
    <row r="36" ht="15.75" customHeight="1">
      <c r="B36" s="133" t="n">
        <v>10</v>
      </c>
      <c r="C36" s="134" t="inlineStr">
        <is>
          <t>Marco STERZI</t>
        </is>
      </c>
      <c r="D36" s="246" t="n">
        <v>40000</v>
      </c>
      <c r="E36" s="136" t="n">
        <v>46220</v>
      </c>
      <c r="F36" s="246" t="n">
        <v>40000</v>
      </c>
      <c r="G36" s="247">
        <f>D36/$D$44</f>
        <v/>
      </c>
      <c r="H36" s="76" t="n"/>
      <c r="I36" s="85">
        <f>C36</f>
        <v/>
      </c>
      <c r="J36" s="9" t="inlineStr">
        <is>
          <t>014/2026</t>
        </is>
      </c>
      <c r="K36" s="6" t="n">
        <v>46220</v>
      </c>
      <c r="L36" s="246" t="n">
        <v>683.7619999999999</v>
      </c>
      <c r="M36" s="246">
        <f>L36*$M$16</f>
        <v/>
      </c>
      <c r="N36" s="246">
        <f>F36*$N$4</f>
        <v/>
      </c>
      <c r="O36" s="109" t="n"/>
    </row>
    <row r="37" ht="9" customHeight="1">
      <c r="B37" s="133" t="n"/>
      <c r="C37" s="134" t="n"/>
      <c r="D37" s="246" t="n"/>
      <c r="E37" s="136" t="n"/>
      <c r="F37" s="246" t="n"/>
      <c r="G37" s="247" t="n"/>
      <c r="H37" s="76" t="n"/>
      <c r="O37" s="109" t="n"/>
    </row>
    <row r="38" ht="15.75" customHeight="1">
      <c r="B38" s="133" t="n">
        <v>11</v>
      </c>
      <c r="C38" s="134" t="inlineStr">
        <is>
          <t>Giovanni MILETTI</t>
        </is>
      </c>
      <c r="D38" s="246" t="n">
        <v>20000</v>
      </c>
      <c r="E38" s="136" t="n">
        <v>46220</v>
      </c>
      <c r="F38" s="246" t="n">
        <v>20000</v>
      </c>
      <c r="G38" s="247">
        <f>D38/$D$44</f>
        <v/>
      </c>
      <c r="H38" s="76" t="n"/>
      <c r="I38" s="85">
        <f>C38</f>
        <v/>
      </c>
      <c r="J38" s="9" t="inlineStr">
        <is>
          <t>014/2026</t>
        </is>
      </c>
      <c r="K38" s="6" t="n">
        <v>46220</v>
      </c>
      <c r="L38" s="246" t="n">
        <v>341.88</v>
      </c>
      <c r="M38" s="246">
        <f>L38*$M$16</f>
        <v/>
      </c>
      <c r="N38" s="246">
        <f>F38*$N$4</f>
        <v/>
      </c>
      <c r="O38" s="109" t="n"/>
    </row>
    <row r="39" ht="9" customHeight="1">
      <c r="B39" s="133" t="n"/>
      <c r="C39" s="134" t="n"/>
      <c r="D39" s="246" t="n"/>
      <c r="E39" s="136" t="n"/>
      <c r="F39" s="246" t="n"/>
      <c r="G39" s="247" t="n"/>
      <c r="H39" s="76" t="n"/>
      <c r="O39" s="109" t="n"/>
    </row>
    <row r="40" ht="15.75" customHeight="1">
      <c r="B40" s="133">
        <f>B38+1</f>
        <v/>
      </c>
      <c r="C40" s="134" t="n"/>
      <c r="D40" s="246" t="n">
        <v>0</v>
      </c>
      <c r="E40" s="108" t="n"/>
      <c r="F40" s="246" t="n">
        <v>0</v>
      </c>
      <c r="G40" s="247">
        <f>D40/$D$44</f>
        <v/>
      </c>
      <c r="H40" s="76" t="n"/>
      <c r="I40" s="85" t="n"/>
      <c r="L40" s="246" t="n">
        <v>0</v>
      </c>
      <c r="M40" s="246">
        <f>L40*$M$16</f>
        <v/>
      </c>
      <c r="N40" s="246">
        <f>F40*$N$4</f>
        <v/>
      </c>
      <c r="O40" s="109" t="n"/>
    </row>
    <row r="41" ht="9" customHeight="1">
      <c r="B41" s="133" t="n"/>
      <c r="C41" s="134" t="n"/>
      <c r="D41" s="248" t="n"/>
      <c r="E41" s="144" t="n"/>
      <c r="F41" s="248" t="n"/>
      <c r="G41" s="250" t="n"/>
      <c r="H41" s="76" t="n"/>
      <c r="O41" s="109" t="n"/>
    </row>
    <row r="42" ht="15.75" customHeight="1">
      <c r="B42" s="138" t="n"/>
      <c r="C42" s="143" t="inlineStr">
        <is>
          <t>TOTAL "Commanditaires"</t>
        </is>
      </c>
      <c r="D42" s="246">
        <f>SUM(D18:D41)</f>
        <v/>
      </c>
      <c r="F42" s="246">
        <f>SUM(F18:F41)</f>
        <v/>
      </c>
      <c r="G42" s="247">
        <f>SUM(G18:G41)</f>
        <v/>
      </c>
      <c r="H42" s="76" t="n"/>
      <c r="J42" s="108" t="inlineStr">
        <is>
          <t>TOTAL</t>
        </is>
      </c>
      <c r="K42" s="108" t="n"/>
      <c r="L42" s="251">
        <f>SUM(L18:L41)</f>
        <v/>
      </c>
      <c r="M42" s="251">
        <f>SUM(M18:M41)</f>
        <v/>
      </c>
      <c r="N42" s="251">
        <f>L42+M42</f>
        <v/>
      </c>
      <c r="O42" s="109" t="n"/>
    </row>
    <row r="43">
      <c r="B43" s="76" t="n"/>
      <c r="D43" s="244" t="n"/>
      <c r="F43" s="244" t="n"/>
      <c r="G43" s="79" t="n"/>
      <c r="H43" s="76" t="n"/>
      <c r="O43" s="109" t="n"/>
    </row>
    <row r="44" ht="15.75" customHeight="1">
      <c r="B44" s="76" t="n"/>
      <c r="C44" s="143" t="inlineStr">
        <is>
          <t>TOTAL</t>
        </is>
      </c>
      <c r="D44" s="251">
        <f>D13+D42</f>
        <v/>
      </c>
      <c r="F44" s="251">
        <f>F13+F42</f>
        <v/>
      </c>
      <c r="G44" s="252">
        <f>G13+G42</f>
        <v/>
      </c>
      <c r="H44" s="76" t="n"/>
      <c r="O44" s="109" t="n"/>
    </row>
    <row r="45">
      <c r="B45" s="78" t="n"/>
      <c r="C45" s="19" t="n"/>
      <c r="D45" s="244" t="n"/>
      <c r="E45" s="122" t="n"/>
      <c r="F45" s="244" t="n"/>
      <c r="G45" s="79" t="n"/>
      <c r="H45" s="78" t="n"/>
      <c r="I45" s="19" t="n"/>
      <c r="J45" s="122" t="n"/>
      <c r="K45" s="122" t="n"/>
      <c r="L45" s="122" t="n"/>
      <c r="M45" s="122" t="n"/>
      <c r="N45" s="19" t="n"/>
      <c r="O45" s="79" t="n"/>
    </row>
  </sheetData>
  <mergeCells count="2">
    <mergeCell ref="H1:O1"/>
    <mergeCell ref="B1:G1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Edoardo</dc:creator>
  <dcterms:created xmlns:dcterms="http://purl.org/dc/terms/" xmlns:xsi="http://www.w3.org/2001/XMLSchema-instance" xsi:type="dcterms:W3CDTF">2021-12-11T10:01:01Z</dcterms:created>
  <dcterms:modified xmlns:dcterms="http://purl.org/dc/terms/" xmlns:xsi="http://www.w3.org/2001/XMLSchema-instance" xsi:type="dcterms:W3CDTF">2026-09-23T08:28:47Z</dcterms:modified>
  <cp:lastModifiedBy>Edoardo Tubia</cp:lastModifiedBy>
  <cp:lastPrinted>2026-07-17T11:25:35Z</cp:lastPrinted>
</cp:coreProperties>
</file>