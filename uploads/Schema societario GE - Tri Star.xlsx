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EEN ENERBRAS ONE SCSp\Schema Societario\"/>
    </mc:Choice>
  </mc:AlternateContent>
  <xr:revisionPtr revIDLastSave="0" documentId="13_ncr:1_{843E1A66-3D65-4D69-A713-ABAC9AFF6869}" xr6:coauthVersionLast="47" xr6:coauthVersionMax="47" xr10:uidLastSave="{00000000-0000-0000-0000-000000000000}"/>
  <bookViews>
    <workbookView xWindow="-120" yWindow="-120" windowWidth="29040" windowHeight="15720" xr2:uid="{41CFF4C8-D23B-40BA-B97D-112330980BCA}"/>
  </bookViews>
  <sheets>
    <sheet name="Schema GREEN ENERBRAS" sheetId="1" r:id="rId1"/>
    <sheet name="Schema GREEN ENERBRAS anonimo" sheetId="2" r:id="rId2"/>
  </sheets>
  <definedNames>
    <definedName name="Anniversaire">#REF!,#REF!,#REF!,#REF!</definedName>
    <definedName name="_xlnm.Print_Area" localSheetId="0">'Schema GREEN ENERBRAS'!$A$1:$T$38</definedName>
    <definedName name="_xlnm.Print_Area" localSheetId="1">'Schema GREEN ENERBRAS anonimo'!$A$1:$T$38</definedName>
    <definedName name="CAP1E">#REF!</definedName>
    <definedName name="CapitFIXE">#REF!</definedName>
    <definedName name="Changement_de_taux">#REF!</definedName>
    <definedName name="Cout_Total">#REF!</definedName>
    <definedName name="DATDB">#REF!</definedName>
    <definedName name="DebAmort">#REF!</definedName>
    <definedName name="Différé">#REF!</definedName>
    <definedName name="DiffSimple">#REF!</definedName>
    <definedName name="DiffTotal">#REF!</definedName>
    <definedName name="EchFIXE">#REF!</definedName>
    <definedName name="FraisF">#REF!</definedName>
    <definedName name="FraisV">#REF!</definedName>
    <definedName name="Ijour">#REF!</definedName>
    <definedName name="Imois">#REF!</definedName>
    <definedName name="INT1E">#REF!</definedName>
    <definedName name="Jour1">#REF!</definedName>
    <definedName name="Jour2">#REF!</definedName>
    <definedName name="MoisD">#REF!</definedName>
    <definedName name="MtEch">#REF!</definedName>
    <definedName name="MtEmprunt">#REF!</definedName>
    <definedName name="NbDeci">#REF!</definedName>
    <definedName name="NbEch">#REF!</definedName>
    <definedName name="NbEchAn">#REF!</definedName>
    <definedName name="NoEchMaxi">#REF!</definedName>
    <definedName name="NoEchRemb">#REF!</definedName>
    <definedName name="Nombre_échéances">#REF!</definedName>
    <definedName name="Periodicite">#REF!</definedName>
    <definedName name="RVDebit">#REF!</definedName>
    <definedName name="TauxActuariel">#REF!</definedName>
    <definedName name="Total_Capital">#REF!</definedName>
    <definedName name="Total_Frais">#REF!</definedName>
    <definedName name="Total_Intérêts">#REF!</definedName>
    <definedName name="TVDebit">#REF!</definedName>
    <definedName name="TxP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2" l="1"/>
  <c r="O7" i="2"/>
  <c r="O21" i="2" s="1"/>
  <c r="O19" i="1"/>
  <c r="O7" i="1"/>
  <c r="O21" i="1" s="1"/>
  <c r="P18" i="2" l="1"/>
  <c r="P14" i="2"/>
  <c r="P10" i="2"/>
  <c r="P6" i="2"/>
  <c r="P7" i="2" s="1"/>
  <c r="P17" i="2"/>
  <c r="P13" i="2"/>
  <c r="P9" i="2"/>
  <c r="P16" i="2"/>
  <c r="P12" i="2"/>
  <c r="P15" i="2"/>
  <c r="P11" i="2"/>
  <c r="P18" i="1"/>
  <c r="P14" i="1"/>
  <c r="P10" i="1"/>
  <c r="P6" i="1"/>
  <c r="P7" i="1" s="1"/>
  <c r="P16" i="1"/>
  <c r="P17" i="1"/>
  <c r="P13" i="1"/>
  <c r="P9" i="1"/>
  <c r="P12" i="1"/>
  <c r="P15" i="1"/>
  <c r="P11" i="1"/>
  <c r="P19" i="1" l="1"/>
  <c r="P19" i="2"/>
  <c r="P21" i="2" s="1"/>
  <c r="P21" i="1"/>
</calcChain>
</file>

<file path=xl/sharedStrings.xml><?xml version="1.0" encoding="utf-8"?>
<sst xmlns="http://schemas.openxmlformats.org/spreadsheetml/2006/main" count="70" uniqueCount="44">
  <si>
    <t>CAPITAL CONTRIBUTION</t>
  </si>
  <si>
    <t>GENERAL PARTNER</t>
  </si>
  <si>
    <t>CNPJ: 59.950.505/0001-60</t>
  </si>
  <si>
    <t>CNPJ: 08.353.637/0001-73</t>
  </si>
  <si>
    <t>NEW LIFE Sàrl</t>
  </si>
  <si>
    <t>Socio OSTENSIVO</t>
  </si>
  <si>
    <t>31.000 EUR</t>
  </si>
  <si>
    <t>5.250 R$</t>
  </si>
  <si>
    <t>0,218273%</t>
  </si>
  <si>
    <t>LIMITED PARTNERS</t>
  </si>
  <si>
    <t>Greta ZANIBONI</t>
  </si>
  <si>
    <t>Elisa ZANIBONI</t>
  </si>
  <si>
    <t>Enrico TUBIA</t>
  </si>
  <si>
    <t>Silvia TUBIA</t>
  </si>
  <si>
    <t>Edoardo TUBIA</t>
  </si>
  <si>
    <t>Salvatore DESIDERIO</t>
  </si>
  <si>
    <t>Stefano BERTOZZI</t>
  </si>
  <si>
    <t>GESTORE</t>
  </si>
  <si>
    <t>CNPJ: 61.284.818/0001-78</t>
  </si>
  <si>
    <t>Socio PARTECIPANTE</t>
  </si>
  <si>
    <t>CNPJ: 60.982.247/0001-82</t>
  </si>
  <si>
    <t>Maria DE MIGUEL BELLVIS</t>
  </si>
  <si>
    <t>2.405.250 R$</t>
  </si>
  <si>
    <t>2.400.000 R$</t>
  </si>
  <si>
    <t>Marco STERZI</t>
  </si>
  <si>
    <t>Giovanni MILETTI</t>
  </si>
  <si>
    <t>USINA 01</t>
  </si>
  <si>
    <t>USINA xx</t>
  </si>
  <si>
    <t>CNPJ: 41.680.512/0001-23</t>
  </si>
  <si>
    <t>CNPJ: 63.724.813/0001-44</t>
  </si>
  <si>
    <t>GENERAL CONTRACTOR</t>
  </si>
  <si>
    <t>MAINTENANCE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</si>
  <si>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</si>
  <si>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N. L. Sàrl</t>
  </si>
  <si>
    <t>G Z</t>
  </si>
  <si>
    <t>E Z</t>
  </si>
  <si>
    <t>En T</t>
  </si>
  <si>
    <t>S T</t>
  </si>
  <si>
    <t>E T</t>
  </si>
  <si>
    <t>S D</t>
  </si>
  <si>
    <t>S B</t>
  </si>
  <si>
    <t>M B</t>
  </si>
  <si>
    <t>M S</t>
  </si>
  <si>
    <t>G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</si>
</sst>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#,##0_ ;[Red]\-#,##0\ "/>
    <numFmt numFmtId="166" formatCode="#,##0.00\ &quot;€&quot;"/>
    <numFmt numFmtId="167" formatCode="0.00000%"/>
  </numFmts>
  <fonts count="7" x14ac:knownFonts="1">
    <font>
      <sz val="10"/>
      <name val="Arial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right"/>
    </xf>
    <xf numFmtId="1" fontId="0" fillId="2" borderId="0" xfId="0" applyNumberFormat="1" applyFill="1"/>
    <xf numFmtId="9" fontId="1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9" fontId="3" fillId="2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4" xfId="0" applyNumberFormat="1" applyFont="1" applyFill="1" applyBorder="1"/>
    <xf numFmtId="164" fontId="0" fillId="2" borderId="0" xfId="0" applyNumberFormat="1" applyFill="1" applyAlignment="1">
      <alignment horizontal="right"/>
    </xf>
    <xf numFmtId="0" fontId="3" fillId="2" borderId="0" xfId="0" applyFont="1" applyFill="1"/>
    <xf numFmtId="0" fontId="3" fillId="2" borderId="5" xfId="0" applyFont="1" applyFill="1" applyBorder="1"/>
    <xf numFmtId="1" fontId="0" fillId="2" borderId="4" xfId="0" applyNumberFormat="1" applyFill="1" applyBorder="1"/>
    <xf numFmtId="0" fontId="1" fillId="2" borderId="0" xfId="0" applyFont="1" applyFill="1"/>
    <xf numFmtId="0" fontId="4" fillId="2" borderId="0" xfId="0" applyFont="1" applyFill="1"/>
    <xf numFmtId="9" fontId="5" fillId="2" borderId="0" xfId="0" applyNumberFormat="1" applyFont="1" applyFill="1" applyAlignment="1">
      <alignment horizontal="center"/>
    </xf>
    <xf numFmtId="166" fontId="3" fillId="2" borderId="6" xfId="0" applyNumberFormat="1" applyFont="1" applyFill="1" applyBorder="1" applyAlignment="1">
      <alignment horizontal="right"/>
    </xf>
    <xf numFmtId="164" fontId="0" fillId="2" borderId="7" xfId="0" applyNumberFormat="1" applyFill="1" applyBorder="1" applyAlignment="1">
      <alignment horizontal="right"/>
    </xf>
    <xf numFmtId="0" fontId="3" fillId="2" borderId="7" xfId="0" applyFont="1" applyFill="1" applyBorder="1"/>
    <xf numFmtId="0" fontId="3" fillId="2" borderId="8" xfId="0" applyFont="1" applyFill="1" applyBorder="1"/>
    <xf numFmtId="9" fontId="3" fillId="2" borderId="0" xfId="0" applyNumberFormat="1" applyFont="1" applyFill="1" applyAlignment="1">
      <alignment horizontal="left"/>
    </xf>
    <xf numFmtId="9" fontId="1" fillId="2" borderId="0" xfId="0" applyNumberFormat="1" applyFont="1" applyFill="1"/>
    <xf numFmtId="9" fontId="5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166" fontId="3" fillId="2" borderId="4" xfId="0" applyNumberFormat="1" applyFont="1" applyFill="1" applyBorder="1"/>
    <xf numFmtId="9" fontId="6" fillId="2" borderId="0" xfId="0" applyNumberFormat="1" applyFon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165" fontId="3" fillId="2" borderId="4" xfId="0" applyNumberFormat="1" applyFont="1" applyFill="1" applyBorder="1" applyAlignment="1">
      <alignment horizontal="right"/>
    </xf>
    <xf numFmtId="10" fontId="3" fillId="2" borderId="0" xfId="0" applyNumberFormat="1" applyFont="1" applyFill="1" applyAlignment="1">
      <alignment horizontal="center"/>
    </xf>
    <xf numFmtId="166" fontId="3" fillId="2" borderId="4" xfId="0" applyNumberFormat="1" applyFont="1" applyFill="1" applyBorder="1" applyAlignment="1">
      <alignment horizontal="right"/>
    </xf>
    <xf numFmtId="0" fontId="0" fillId="2" borderId="5" xfId="0" applyFill="1" applyBorder="1"/>
    <xf numFmtId="9" fontId="1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left"/>
    </xf>
    <xf numFmtId="167" fontId="5" fillId="2" borderId="0" xfId="0" applyNumberFormat="1" applyFont="1" applyFill="1" applyAlignment="1">
      <alignment horizontal="right"/>
    </xf>
    <xf numFmtId="9" fontId="5" fillId="2" borderId="0" xfId="0" applyNumberFormat="1" applyFont="1" applyFill="1" applyAlignment="1">
      <alignment horizontal="left"/>
    </xf>
    <xf numFmtId="0" fontId="0" fillId="2" borderId="8" xfId="0" applyFill="1" applyBorder="1"/>
    <xf numFmtId="0" fontId="0" fillId="2" borderId="0" xfId="0" applyFill="1" applyAlignment="1">
      <alignment horizontal="left"/>
    </xf>
    <xf numFmtId="1" fontId="3" fillId="2" borderId="6" xfId="0" applyNumberFormat="1" applyFont="1" applyFill="1" applyBorder="1" applyAlignment="1">
      <alignment horizontal="right"/>
    </xf>
    <xf numFmtId="0" fontId="0" fillId="2" borderId="7" xfId="0" applyFill="1" applyBorder="1"/>
    <xf numFmtId="166" fontId="3" fillId="2" borderId="6" xfId="0" applyNumberFormat="1" applyFont="1" applyFill="1" applyBorder="1"/>
    <xf numFmtId="164" fontId="3" fillId="2" borderId="7" xfId="0" applyNumberFormat="1" applyFont="1" applyFill="1" applyBorder="1" applyAlignment="1">
      <alignment horizontal="right"/>
    </xf>
    <xf numFmtId="1" fontId="4" fillId="2" borderId="0" xfId="0" applyNumberFormat="1" applyFont="1" applyFill="1"/>
    <xf numFmtId="1" fontId="3" fillId="2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749300</xdr:colOff>
      <xdr:row>4</xdr:row>
      <xdr:rowOff>123826</xdr:rowOff>
    </xdr:from>
    <xdr:to>
      <xdr:col>13</xdr:col>
      <xdr:colOff>200025</xdr:colOff>
      <xdr:row>20</xdr:row>
      <xdr:rowOff>123825</xdr:rowOff>
    </xdr:to>
    <xdr:sp macro="" textlink="">
      <xdr:nvSpPr>
        <xdr:cNvPr id="2" name="AutoShape 40">
          <a:extLst>
            <a:ext uri="{FF2B5EF4-FFF2-40B4-BE49-F238E27FC236}">
              <a16:creationId xmlns:a16="http://schemas.microsoft.com/office/drawing/2014/main" id="{E601949D-F0BD-4315-996E-47793F163E6B}"/>
            </a:ext>
          </a:extLst>
        </xdr:cNvPr>
        <xdr:cNvSpPr>
          <a:spLocks/>
        </xdr:cNvSpPr>
      </xdr:nvSpPr>
      <xdr:spPr bwMode="auto">
        <a:xfrm>
          <a:off x="7597775" y="1095376"/>
          <a:ext cx="298450" cy="2590799"/>
        </a:xfrm>
        <a:prstGeom prst="leftBrace">
          <a:avLst>
            <a:gd name="adj1" fmla="val 249583"/>
            <a:gd name="adj2" fmla="val 50245"/>
          </a:avLst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407670</xdr:colOff>
      <xdr:row>1</xdr:row>
      <xdr:rowOff>123824</xdr:rowOff>
    </xdr:from>
    <xdr:to>
      <xdr:col>12</xdr:col>
      <xdr:colOff>255270</xdr:colOff>
      <xdr:row>4</xdr:row>
      <xdr:rowOff>103504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88694B4-0DC5-401A-9F02-479ACA59CF76}"/>
            </a:ext>
          </a:extLst>
        </xdr:cNvPr>
        <xdr:cNvSpPr>
          <a:spLocks noChangeArrowheads="1"/>
        </xdr:cNvSpPr>
      </xdr:nvSpPr>
      <xdr:spPr bwMode="auto">
        <a:xfrm>
          <a:off x="4970145" y="609599"/>
          <a:ext cx="2133600" cy="46545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NEW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LIFE Sàrl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Luxembourg</a:t>
          </a: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9525</xdr:colOff>
      <xdr:row>14</xdr:row>
      <xdr:rowOff>123824</xdr:rowOff>
    </xdr:from>
    <xdr:to>
      <xdr:col>5</xdr:col>
      <xdr:colOff>9525</xdr:colOff>
      <xdr:row>19</xdr:row>
      <xdr:rowOff>47624</xdr:rowOff>
    </xdr:to>
    <xdr:sp macro="" textlink="">
      <xdr:nvSpPr>
        <xdr:cNvPr id="4" name="Line 43">
          <a:extLst>
            <a:ext uri="{FF2B5EF4-FFF2-40B4-BE49-F238E27FC236}">
              <a16:creationId xmlns:a16="http://schemas.microsoft.com/office/drawing/2014/main" id="{5B19C921-6FC6-4ED6-A9E2-DD088F05A700}"/>
            </a:ext>
          </a:extLst>
        </xdr:cNvPr>
        <xdr:cNvSpPr>
          <a:spLocks noChangeShapeType="1"/>
        </xdr:cNvSpPr>
      </xdr:nvSpPr>
      <xdr:spPr bwMode="auto">
        <a:xfrm>
          <a:off x="1895475" y="2714624"/>
          <a:ext cx="0" cy="7334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11</xdr:row>
      <xdr:rowOff>104775</xdr:rowOff>
    </xdr:from>
    <xdr:to>
      <xdr:col>7</xdr:col>
      <xdr:colOff>238125</xdr:colOff>
      <xdr:row>14</xdr:row>
      <xdr:rowOff>127001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AF6E7D05-28D0-4542-8526-1356F2A71051}"/>
            </a:ext>
          </a:extLst>
        </xdr:cNvPr>
        <xdr:cNvSpPr>
          <a:spLocks noChangeArrowheads="1"/>
        </xdr:cNvSpPr>
      </xdr:nvSpPr>
      <xdr:spPr bwMode="auto">
        <a:xfrm>
          <a:off x="342900" y="2209800"/>
          <a:ext cx="3190875" cy="5080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TRI STAR ENERBRAS ONE SCP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Brasil</a:t>
          </a:r>
        </a:p>
        <a:p>
          <a:pPr algn="ctr" rtl="0">
            <a:defRPr sz="1000"/>
          </a:pPr>
          <a:endParaRPr lang="it-IT" sz="1200" b="1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581025</xdr:colOff>
      <xdr:row>13</xdr:row>
      <xdr:rowOff>12700</xdr:rowOff>
    </xdr:from>
    <xdr:to>
      <xdr:col>7</xdr:col>
      <xdr:colOff>247650</xdr:colOff>
      <xdr:row>14</xdr:row>
      <xdr:rowOff>130175</xdr:rowOff>
    </xdr:to>
    <xdr:pic>
      <xdr:nvPicPr>
        <xdr:cNvPr id="6" name="Picture 26" descr="BRAZ001">
          <a:extLst>
            <a:ext uri="{FF2B5EF4-FFF2-40B4-BE49-F238E27FC236}">
              <a16:creationId xmlns:a16="http://schemas.microsoft.com/office/drawing/2014/main" id="{4757A744-0405-4E36-9C65-E0F0EC55F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14675" y="2441575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11</xdr:col>
      <xdr:colOff>577850</xdr:colOff>
      <xdr:row>2</xdr:row>
      <xdr:rowOff>146050</xdr:rowOff>
    </xdr:from>
    <xdr:to>
      <xdr:col>12</xdr:col>
      <xdr:colOff>263525</xdr:colOff>
      <xdr:row>4</xdr:row>
      <xdr:rowOff>117475</xdr:rowOff>
    </xdr:to>
    <xdr:pic>
      <xdr:nvPicPr>
        <xdr:cNvPr id="7" name="Picture 96" descr="flags_of_Luxembourg2">
          <a:extLst>
            <a:ext uri="{FF2B5EF4-FFF2-40B4-BE49-F238E27FC236}">
              <a16:creationId xmlns:a16="http://schemas.microsoft.com/office/drawing/2014/main" id="{956E0D6B-B076-4B8D-8908-CA3D50E7E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4325" y="793750"/>
          <a:ext cx="4476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504824</xdr:colOff>
      <xdr:row>11</xdr:row>
      <xdr:rowOff>104774</xdr:rowOff>
    </xdr:from>
    <xdr:to>
      <xdr:col>12</xdr:col>
      <xdr:colOff>657224</xdr:colOff>
      <xdr:row>14</xdr:row>
      <xdr:rowOff>133350</xdr:rowOff>
    </xdr:to>
    <xdr:sp macro="" textlink="">
      <xdr:nvSpPr>
        <xdr:cNvPr id="8" name="Rectangle 3">
          <a:extLst>
            <a:ext uri="{FF2B5EF4-FFF2-40B4-BE49-F238E27FC236}">
              <a16:creationId xmlns:a16="http://schemas.microsoft.com/office/drawing/2014/main" id="{F5A4D697-93BB-459F-982B-68FED49E3378}"/>
            </a:ext>
          </a:extLst>
        </xdr:cNvPr>
        <xdr:cNvSpPr>
          <a:spLocks noChangeArrowheads="1"/>
        </xdr:cNvSpPr>
      </xdr:nvSpPr>
      <xdr:spPr bwMode="auto">
        <a:xfrm>
          <a:off x="4562474" y="2209799"/>
          <a:ext cx="2943225" cy="5143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GREEN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ENERBRAS ONE SCSp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Luxembourg</a:t>
          </a:r>
        </a:p>
      </xdr:txBody>
    </xdr:sp>
    <xdr:clientData/>
  </xdr:twoCellAnchor>
  <xdr:twoCellAnchor>
    <xdr:from>
      <xdr:col>1</xdr:col>
      <xdr:colOff>38100</xdr:colOff>
      <xdr:row>1</xdr:row>
      <xdr:rowOff>123826</xdr:rowOff>
    </xdr:from>
    <xdr:to>
      <xdr:col>7</xdr:col>
      <xdr:colOff>352424</xdr:colOff>
      <xdr:row>4</xdr:row>
      <xdr:rowOff>133350</xdr:rowOff>
    </xdr:to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FD8F57E7-10B6-4934-A8CF-55272433DB74}"/>
            </a:ext>
          </a:extLst>
        </xdr:cNvPr>
        <xdr:cNvSpPr>
          <a:spLocks noChangeArrowheads="1"/>
        </xdr:cNvSpPr>
      </xdr:nvSpPr>
      <xdr:spPr bwMode="auto">
        <a:xfrm>
          <a:off x="381000" y="609601"/>
          <a:ext cx="3267074" cy="4952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TRI STAR ENERGY LTDA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Brasil</a:t>
          </a:r>
        </a:p>
      </xdr:txBody>
    </xdr:sp>
    <xdr:clientData/>
  </xdr:twoCellAnchor>
  <xdr:twoCellAnchor>
    <xdr:from>
      <xdr:col>6</xdr:col>
      <xdr:colOff>685800</xdr:colOff>
      <xdr:row>3</xdr:row>
      <xdr:rowOff>19050</xdr:rowOff>
    </xdr:from>
    <xdr:to>
      <xdr:col>7</xdr:col>
      <xdr:colOff>352425</xdr:colOff>
      <xdr:row>4</xdr:row>
      <xdr:rowOff>130175</xdr:rowOff>
    </xdr:to>
    <xdr:pic>
      <xdr:nvPicPr>
        <xdr:cNvPr id="10" name="Picture 26" descr="BRAZ001">
          <a:extLst>
            <a:ext uri="{FF2B5EF4-FFF2-40B4-BE49-F238E27FC236}">
              <a16:creationId xmlns:a16="http://schemas.microsoft.com/office/drawing/2014/main" id="{073870D6-1344-48B8-98E7-763028068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19450" y="828675"/>
          <a:ext cx="428625" cy="273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333375</xdr:colOff>
      <xdr:row>12</xdr:row>
      <xdr:rowOff>152400</xdr:rowOff>
    </xdr:from>
    <xdr:to>
      <xdr:col>9</xdr:col>
      <xdr:colOff>9524</xdr:colOff>
      <xdr:row>13</xdr:row>
      <xdr:rowOff>1</xdr:rowOff>
    </xdr:to>
    <xdr:sp macro="" textlink="">
      <xdr:nvSpPr>
        <xdr:cNvPr id="11" name="Line 43">
          <a:extLst>
            <a:ext uri="{FF2B5EF4-FFF2-40B4-BE49-F238E27FC236}">
              <a16:creationId xmlns:a16="http://schemas.microsoft.com/office/drawing/2014/main" id="{93B56AA5-977E-443F-BF9C-860E4CC50EBF}"/>
            </a:ext>
          </a:extLst>
        </xdr:cNvPr>
        <xdr:cNvSpPr>
          <a:spLocks noChangeShapeType="1"/>
        </xdr:cNvSpPr>
      </xdr:nvSpPr>
      <xdr:spPr bwMode="auto">
        <a:xfrm flipH="1">
          <a:off x="3629025" y="2419350"/>
          <a:ext cx="942974" cy="952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31</xdr:row>
      <xdr:rowOff>9524</xdr:rowOff>
    </xdr:from>
    <xdr:to>
      <xdr:col>6</xdr:col>
      <xdr:colOff>171450</xdr:colOff>
      <xdr:row>34</xdr:row>
      <xdr:rowOff>142875</xdr:rowOff>
    </xdr:to>
    <xdr:sp macro="" textlink="">
      <xdr:nvSpPr>
        <xdr:cNvPr id="12" name="Rectangle 3">
          <a:extLst>
            <a:ext uri="{FF2B5EF4-FFF2-40B4-BE49-F238E27FC236}">
              <a16:creationId xmlns:a16="http://schemas.microsoft.com/office/drawing/2014/main" id="{92ACF0DA-2796-4FA9-AF43-2A044D5F5036}"/>
            </a:ext>
          </a:extLst>
        </xdr:cNvPr>
        <xdr:cNvSpPr>
          <a:spLocks noChangeArrowheads="1"/>
        </xdr:cNvSpPr>
      </xdr:nvSpPr>
      <xdr:spPr bwMode="auto">
        <a:xfrm>
          <a:off x="342900" y="5353049"/>
          <a:ext cx="2362200" cy="6191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&amp; D SOLUCOES ENERGETICAS LTDA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Brasil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12</xdr:col>
      <xdr:colOff>219075</xdr:colOff>
      <xdr:row>13</xdr:row>
      <xdr:rowOff>19050</xdr:rowOff>
    </xdr:from>
    <xdr:to>
      <xdr:col>12</xdr:col>
      <xdr:colOff>666750</xdr:colOff>
      <xdr:row>14</xdr:row>
      <xdr:rowOff>152400</xdr:rowOff>
    </xdr:to>
    <xdr:pic>
      <xdr:nvPicPr>
        <xdr:cNvPr id="13" name="Picture 96" descr="flags_of_Luxembourg2">
          <a:extLst>
            <a:ext uri="{FF2B5EF4-FFF2-40B4-BE49-F238E27FC236}">
              <a16:creationId xmlns:a16="http://schemas.microsoft.com/office/drawing/2014/main" id="{15D824E0-CCE8-468C-B192-32AB3343B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67550" y="2447925"/>
          <a:ext cx="4476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19</xdr:row>
      <xdr:rowOff>114300</xdr:rowOff>
    </xdr:from>
    <xdr:to>
      <xdr:col>5</xdr:col>
      <xdr:colOff>272114</xdr:colOff>
      <xdr:row>25</xdr:row>
      <xdr:rowOff>81213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20324B1D-8705-42F5-9F41-D44D090339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06" t="12858" r="11010" b="20061"/>
        <a:stretch/>
      </xdr:blipFill>
      <xdr:spPr>
        <a:xfrm>
          <a:off x="723900" y="3514725"/>
          <a:ext cx="1434164" cy="938463"/>
        </a:xfrm>
        <a:prstGeom prst="rect">
          <a:avLst/>
        </a:prstGeom>
      </xdr:spPr>
    </xdr:pic>
    <xdr:clientData/>
  </xdr:twoCellAnchor>
  <xdr:twoCellAnchor>
    <xdr:from>
      <xdr:col>5</xdr:col>
      <xdr:colOff>390525</xdr:colOff>
      <xdr:row>33</xdr:row>
      <xdr:rowOff>28575</xdr:rowOff>
    </xdr:from>
    <xdr:to>
      <xdr:col>6</xdr:col>
      <xdr:colOff>171450</xdr:colOff>
      <xdr:row>34</xdr:row>
      <xdr:rowOff>146050</xdr:rowOff>
    </xdr:to>
    <xdr:pic>
      <xdr:nvPicPr>
        <xdr:cNvPr id="15" name="Picture 26" descr="BRAZ001">
          <a:extLst>
            <a:ext uri="{FF2B5EF4-FFF2-40B4-BE49-F238E27FC236}">
              <a16:creationId xmlns:a16="http://schemas.microsoft.com/office/drawing/2014/main" id="{F842F5F4-CDEB-43E9-BC2E-5A6D7BD35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76475" y="5695950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485773</xdr:colOff>
      <xdr:row>28</xdr:row>
      <xdr:rowOff>0</xdr:rowOff>
    </xdr:from>
    <xdr:to>
      <xdr:col>4</xdr:col>
      <xdr:colOff>495300</xdr:colOff>
      <xdr:row>31</xdr:row>
      <xdr:rowOff>9524</xdr:rowOff>
    </xdr:to>
    <xdr:sp macro="" textlink="">
      <xdr:nvSpPr>
        <xdr:cNvPr id="16" name="Line 43">
          <a:extLst>
            <a:ext uri="{FF2B5EF4-FFF2-40B4-BE49-F238E27FC236}">
              <a16:creationId xmlns:a16="http://schemas.microsoft.com/office/drawing/2014/main" id="{50716EAE-EA01-49EA-B6C0-C5A910BB8E29}"/>
            </a:ext>
          </a:extLst>
        </xdr:cNvPr>
        <xdr:cNvSpPr>
          <a:spLocks noChangeShapeType="1"/>
        </xdr:cNvSpPr>
      </xdr:nvSpPr>
      <xdr:spPr bwMode="auto">
        <a:xfrm flipV="1">
          <a:off x="1828798" y="4857750"/>
          <a:ext cx="9527" cy="495299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676275</xdr:colOff>
      <xdr:row>4</xdr:row>
      <xdr:rowOff>114300</xdr:rowOff>
    </xdr:from>
    <xdr:to>
      <xdr:col>10</xdr:col>
      <xdr:colOff>676275</xdr:colOff>
      <xdr:row>9</xdr:row>
      <xdr:rowOff>142876</xdr:rowOff>
    </xdr:to>
    <xdr:sp macro="" textlink="">
      <xdr:nvSpPr>
        <xdr:cNvPr id="17" name="Line 43">
          <a:extLst>
            <a:ext uri="{FF2B5EF4-FFF2-40B4-BE49-F238E27FC236}">
              <a16:creationId xmlns:a16="http://schemas.microsoft.com/office/drawing/2014/main" id="{D43DD157-8AA1-460C-B603-0740AFC4D5C9}"/>
            </a:ext>
          </a:extLst>
        </xdr:cNvPr>
        <xdr:cNvSpPr>
          <a:spLocks noChangeShapeType="1"/>
        </xdr:cNvSpPr>
      </xdr:nvSpPr>
      <xdr:spPr bwMode="auto">
        <a:xfrm flipH="1">
          <a:off x="6000750" y="1085850"/>
          <a:ext cx="0" cy="8382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5</xdr:col>
      <xdr:colOff>333375</xdr:colOff>
      <xdr:row>19</xdr:row>
      <xdr:rowOff>123825</xdr:rowOff>
    </xdr:from>
    <xdr:to>
      <xdr:col>7</xdr:col>
      <xdr:colOff>357839</xdr:colOff>
      <xdr:row>25</xdr:row>
      <xdr:rowOff>90738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E0C22306-264F-4E3F-AE54-812BCEBCE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06" t="12858" r="11010" b="20061"/>
        <a:stretch/>
      </xdr:blipFill>
      <xdr:spPr>
        <a:xfrm>
          <a:off x="2219325" y="3524250"/>
          <a:ext cx="1434164" cy="938463"/>
        </a:xfrm>
        <a:prstGeom prst="rect">
          <a:avLst/>
        </a:prstGeom>
      </xdr:spPr>
    </xdr:pic>
    <xdr:clientData/>
  </xdr:twoCellAnchor>
  <xdr:twoCellAnchor>
    <xdr:from>
      <xdr:col>6</xdr:col>
      <xdr:colOff>495299</xdr:colOff>
      <xdr:row>31</xdr:row>
      <xdr:rowOff>19049</xdr:rowOff>
    </xdr:from>
    <xdr:to>
      <xdr:col>10</xdr:col>
      <xdr:colOff>247649</xdr:colOff>
      <xdr:row>34</xdr:row>
      <xdr:rowOff>152400</xdr:rowOff>
    </xdr:to>
    <xdr:sp macro="" textlink="">
      <xdr:nvSpPr>
        <xdr:cNvPr id="19" name="Rectangle 3">
          <a:extLst>
            <a:ext uri="{FF2B5EF4-FFF2-40B4-BE49-F238E27FC236}">
              <a16:creationId xmlns:a16="http://schemas.microsoft.com/office/drawing/2014/main" id="{0AA0B78E-4DA8-4639-AE33-1C4373A2AEE5}"/>
            </a:ext>
          </a:extLst>
        </xdr:cNvPr>
        <xdr:cNvSpPr>
          <a:spLocks noChangeArrowheads="1"/>
        </xdr:cNvSpPr>
      </xdr:nvSpPr>
      <xdr:spPr bwMode="auto">
        <a:xfrm>
          <a:off x="3028949" y="5362574"/>
          <a:ext cx="2543175" cy="6191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SGGS - SOLUCOES GLOBAIS DE GERACAO SOLAR LTDA</a:t>
          </a:r>
          <a:endParaRPr lang="it-IT" sz="1200" b="1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Brasil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571500</xdr:colOff>
      <xdr:row>33</xdr:row>
      <xdr:rowOff>38100</xdr:rowOff>
    </xdr:from>
    <xdr:to>
      <xdr:col>10</xdr:col>
      <xdr:colOff>238125</xdr:colOff>
      <xdr:row>34</xdr:row>
      <xdr:rowOff>155575</xdr:rowOff>
    </xdr:to>
    <xdr:pic>
      <xdr:nvPicPr>
        <xdr:cNvPr id="20" name="Picture 26" descr="BRAZ001">
          <a:extLst>
            <a:ext uri="{FF2B5EF4-FFF2-40B4-BE49-F238E27FC236}">
              <a16:creationId xmlns:a16="http://schemas.microsoft.com/office/drawing/2014/main" id="{1A8A0F97-41E3-4C07-9E91-7BBD111F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705475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238124</xdr:colOff>
      <xdr:row>27</xdr:row>
      <xdr:rowOff>142874</xdr:rowOff>
    </xdr:from>
    <xdr:to>
      <xdr:col>7</xdr:col>
      <xdr:colOff>95249</xdr:colOff>
      <xdr:row>31</xdr:row>
      <xdr:rowOff>19049</xdr:rowOff>
    </xdr:to>
    <xdr:sp macro="" textlink="">
      <xdr:nvSpPr>
        <xdr:cNvPr id="21" name="Line 43">
          <a:extLst>
            <a:ext uri="{FF2B5EF4-FFF2-40B4-BE49-F238E27FC236}">
              <a16:creationId xmlns:a16="http://schemas.microsoft.com/office/drawing/2014/main" id="{B0BDC294-FE35-40C0-A9BA-F4BC563499CD}"/>
            </a:ext>
          </a:extLst>
        </xdr:cNvPr>
        <xdr:cNvSpPr>
          <a:spLocks noChangeShapeType="1"/>
        </xdr:cNvSpPr>
      </xdr:nvSpPr>
      <xdr:spPr bwMode="auto">
        <a:xfrm flipH="1" flipV="1">
          <a:off x="2771774" y="4838699"/>
          <a:ext cx="619125" cy="5238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0</xdr:colOff>
      <xdr:row>4</xdr:row>
      <xdr:rowOff>123825</xdr:rowOff>
    </xdr:from>
    <xdr:to>
      <xdr:col>5</xdr:col>
      <xdr:colOff>0</xdr:colOff>
      <xdr:row>9</xdr:row>
      <xdr:rowOff>152401</xdr:rowOff>
    </xdr:to>
    <xdr:sp macro="" textlink="">
      <xdr:nvSpPr>
        <xdr:cNvPr id="22" name="Line 43">
          <a:extLst>
            <a:ext uri="{FF2B5EF4-FFF2-40B4-BE49-F238E27FC236}">
              <a16:creationId xmlns:a16="http://schemas.microsoft.com/office/drawing/2014/main" id="{E516A58C-80F6-43D8-9C0D-D0B743D2D848}"/>
            </a:ext>
          </a:extLst>
        </xdr:cNvPr>
        <xdr:cNvSpPr>
          <a:spLocks noChangeShapeType="1"/>
        </xdr:cNvSpPr>
      </xdr:nvSpPr>
      <xdr:spPr bwMode="auto">
        <a:xfrm flipH="1">
          <a:off x="1885950" y="1095375"/>
          <a:ext cx="0" cy="8382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10</xdr:col>
      <xdr:colOff>628650</xdr:colOff>
      <xdr:row>21</xdr:row>
      <xdr:rowOff>142875</xdr:rowOff>
    </xdr:from>
    <xdr:to>
      <xdr:col>19</xdr:col>
      <xdr:colOff>47624</xdr:colOff>
      <xdr:row>40</xdr:row>
      <xdr:rowOff>0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FB8E6358-260A-DE99-D416-6197AF23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0" y="3543300"/>
          <a:ext cx="5867399" cy="29337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190501</xdr:colOff>
      <xdr:row>6</xdr:row>
      <xdr:rowOff>77720</xdr:rowOff>
    </xdr:from>
    <xdr:to>
      <xdr:col>9</xdr:col>
      <xdr:colOff>9526</xdr:colOff>
      <xdr:row>11</xdr:row>
      <xdr:rowOff>47954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AE2CAE7F-D5CB-0778-3EEC-57D6B14E1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6" y="1049270"/>
          <a:ext cx="2495550" cy="7798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749300</xdr:colOff>
      <xdr:row>4</xdr:row>
      <xdr:rowOff>123826</xdr:rowOff>
    </xdr:from>
    <xdr:to>
      <xdr:col>13</xdr:col>
      <xdr:colOff>200025</xdr:colOff>
      <xdr:row>20</xdr:row>
      <xdr:rowOff>123825</xdr:rowOff>
    </xdr:to>
    <xdr:sp macro="" textlink="">
      <xdr:nvSpPr>
        <xdr:cNvPr id="2" name="AutoShape 40">
          <a:extLst>
            <a:ext uri="{FF2B5EF4-FFF2-40B4-BE49-F238E27FC236}">
              <a16:creationId xmlns:a16="http://schemas.microsoft.com/office/drawing/2014/main" id="{77428D8A-64E2-41E7-AB18-711852E8B0BE}"/>
            </a:ext>
          </a:extLst>
        </xdr:cNvPr>
        <xdr:cNvSpPr>
          <a:spLocks/>
        </xdr:cNvSpPr>
      </xdr:nvSpPr>
      <xdr:spPr bwMode="auto">
        <a:xfrm>
          <a:off x="7597775" y="1095376"/>
          <a:ext cx="298450" cy="2590799"/>
        </a:xfrm>
        <a:prstGeom prst="leftBrace">
          <a:avLst>
            <a:gd name="adj1" fmla="val 249583"/>
            <a:gd name="adj2" fmla="val 50245"/>
          </a:avLst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407670</xdr:colOff>
      <xdr:row>1</xdr:row>
      <xdr:rowOff>123824</xdr:rowOff>
    </xdr:from>
    <xdr:to>
      <xdr:col>12</xdr:col>
      <xdr:colOff>255270</xdr:colOff>
      <xdr:row>4</xdr:row>
      <xdr:rowOff>103504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3C536E-BC61-488C-BF2F-C86293E9F6DD}"/>
            </a:ext>
          </a:extLst>
        </xdr:cNvPr>
        <xdr:cNvSpPr>
          <a:spLocks noChangeArrowheads="1"/>
        </xdr:cNvSpPr>
      </xdr:nvSpPr>
      <xdr:spPr bwMode="auto">
        <a:xfrm>
          <a:off x="4970145" y="609599"/>
          <a:ext cx="2133600" cy="46545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NEW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LIFE Sàrl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Luxembourg</a:t>
          </a: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9525</xdr:colOff>
      <xdr:row>14</xdr:row>
      <xdr:rowOff>123824</xdr:rowOff>
    </xdr:from>
    <xdr:to>
      <xdr:col>5</xdr:col>
      <xdr:colOff>9525</xdr:colOff>
      <xdr:row>19</xdr:row>
      <xdr:rowOff>47624</xdr:rowOff>
    </xdr:to>
    <xdr:sp macro="" textlink="">
      <xdr:nvSpPr>
        <xdr:cNvPr id="4" name="Line 43">
          <a:extLst>
            <a:ext uri="{FF2B5EF4-FFF2-40B4-BE49-F238E27FC236}">
              <a16:creationId xmlns:a16="http://schemas.microsoft.com/office/drawing/2014/main" id="{DD726733-DFB6-4DEC-A9C3-754379A83EA2}"/>
            </a:ext>
          </a:extLst>
        </xdr:cNvPr>
        <xdr:cNvSpPr>
          <a:spLocks noChangeShapeType="1"/>
        </xdr:cNvSpPr>
      </xdr:nvSpPr>
      <xdr:spPr bwMode="auto">
        <a:xfrm>
          <a:off x="1895475" y="2714624"/>
          <a:ext cx="0" cy="7334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11</xdr:row>
      <xdr:rowOff>104775</xdr:rowOff>
    </xdr:from>
    <xdr:to>
      <xdr:col>7</xdr:col>
      <xdr:colOff>238125</xdr:colOff>
      <xdr:row>14</xdr:row>
      <xdr:rowOff>127001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4AE16B58-CBE5-4D30-A7BA-F596D3A57B0B}"/>
            </a:ext>
          </a:extLst>
        </xdr:cNvPr>
        <xdr:cNvSpPr>
          <a:spLocks noChangeArrowheads="1"/>
        </xdr:cNvSpPr>
      </xdr:nvSpPr>
      <xdr:spPr bwMode="auto">
        <a:xfrm>
          <a:off x="342900" y="2209800"/>
          <a:ext cx="3190875" cy="5080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TRI STAR ENERBRAS ONE SCP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Brasil</a:t>
          </a:r>
        </a:p>
        <a:p>
          <a:pPr algn="ctr" rtl="0">
            <a:defRPr sz="1000"/>
          </a:pPr>
          <a:endParaRPr lang="it-IT" sz="1200" b="1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581025</xdr:colOff>
      <xdr:row>13</xdr:row>
      <xdr:rowOff>12700</xdr:rowOff>
    </xdr:from>
    <xdr:to>
      <xdr:col>7</xdr:col>
      <xdr:colOff>247650</xdr:colOff>
      <xdr:row>14</xdr:row>
      <xdr:rowOff>130175</xdr:rowOff>
    </xdr:to>
    <xdr:pic>
      <xdr:nvPicPr>
        <xdr:cNvPr id="6" name="Picture 26" descr="BRAZ001">
          <a:extLst>
            <a:ext uri="{FF2B5EF4-FFF2-40B4-BE49-F238E27FC236}">
              <a16:creationId xmlns:a16="http://schemas.microsoft.com/office/drawing/2014/main" id="{309D1759-F546-422C-B895-EA3DFA8B4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14675" y="2441575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11</xdr:col>
      <xdr:colOff>577850</xdr:colOff>
      <xdr:row>2</xdr:row>
      <xdr:rowOff>146050</xdr:rowOff>
    </xdr:from>
    <xdr:to>
      <xdr:col>12</xdr:col>
      <xdr:colOff>263525</xdr:colOff>
      <xdr:row>4</xdr:row>
      <xdr:rowOff>117475</xdr:rowOff>
    </xdr:to>
    <xdr:pic>
      <xdr:nvPicPr>
        <xdr:cNvPr id="7" name="Picture 96" descr="flags_of_Luxembourg2">
          <a:extLst>
            <a:ext uri="{FF2B5EF4-FFF2-40B4-BE49-F238E27FC236}">
              <a16:creationId xmlns:a16="http://schemas.microsoft.com/office/drawing/2014/main" id="{13A18283-354E-4A14-8EDB-31A074057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4325" y="793750"/>
          <a:ext cx="4476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504824</xdr:colOff>
      <xdr:row>11</xdr:row>
      <xdr:rowOff>104774</xdr:rowOff>
    </xdr:from>
    <xdr:to>
      <xdr:col>12</xdr:col>
      <xdr:colOff>657224</xdr:colOff>
      <xdr:row>14</xdr:row>
      <xdr:rowOff>133350</xdr:rowOff>
    </xdr:to>
    <xdr:sp macro="" textlink="">
      <xdr:nvSpPr>
        <xdr:cNvPr id="8" name="Rectangle 3">
          <a:extLst>
            <a:ext uri="{FF2B5EF4-FFF2-40B4-BE49-F238E27FC236}">
              <a16:creationId xmlns:a16="http://schemas.microsoft.com/office/drawing/2014/main" id="{BCDF67F3-C4F7-4331-9EDE-C5686B6CEAEA}"/>
            </a:ext>
          </a:extLst>
        </xdr:cNvPr>
        <xdr:cNvSpPr>
          <a:spLocks noChangeArrowheads="1"/>
        </xdr:cNvSpPr>
      </xdr:nvSpPr>
      <xdr:spPr bwMode="auto">
        <a:xfrm>
          <a:off x="4562474" y="2209799"/>
          <a:ext cx="2943225" cy="5143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GREEN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ENERBRAS ONE SCSp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Luxembourg</a:t>
          </a:r>
        </a:p>
      </xdr:txBody>
    </xdr:sp>
    <xdr:clientData/>
  </xdr:twoCellAnchor>
  <xdr:twoCellAnchor>
    <xdr:from>
      <xdr:col>1</xdr:col>
      <xdr:colOff>38100</xdr:colOff>
      <xdr:row>1</xdr:row>
      <xdr:rowOff>123826</xdr:rowOff>
    </xdr:from>
    <xdr:to>
      <xdr:col>7</xdr:col>
      <xdr:colOff>352424</xdr:colOff>
      <xdr:row>4</xdr:row>
      <xdr:rowOff>133350</xdr:rowOff>
    </xdr:to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2CEDCCD8-AB65-4AF3-9997-2AA652459033}"/>
            </a:ext>
          </a:extLst>
        </xdr:cNvPr>
        <xdr:cNvSpPr>
          <a:spLocks noChangeArrowheads="1"/>
        </xdr:cNvSpPr>
      </xdr:nvSpPr>
      <xdr:spPr bwMode="auto">
        <a:xfrm>
          <a:off x="381000" y="609601"/>
          <a:ext cx="3267074" cy="4952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TRI STAR ENERGY LTDA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Brasil</a:t>
          </a:r>
        </a:p>
      </xdr:txBody>
    </xdr:sp>
    <xdr:clientData/>
  </xdr:twoCellAnchor>
  <xdr:twoCellAnchor>
    <xdr:from>
      <xdr:col>6</xdr:col>
      <xdr:colOff>685800</xdr:colOff>
      <xdr:row>3</xdr:row>
      <xdr:rowOff>19050</xdr:rowOff>
    </xdr:from>
    <xdr:to>
      <xdr:col>7</xdr:col>
      <xdr:colOff>352425</xdr:colOff>
      <xdr:row>4</xdr:row>
      <xdr:rowOff>130175</xdr:rowOff>
    </xdr:to>
    <xdr:pic>
      <xdr:nvPicPr>
        <xdr:cNvPr id="10" name="Picture 26" descr="BRAZ001">
          <a:extLst>
            <a:ext uri="{FF2B5EF4-FFF2-40B4-BE49-F238E27FC236}">
              <a16:creationId xmlns:a16="http://schemas.microsoft.com/office/drawing/2014/main" id="{17993B74-22E9-4336-A27D-DD9E7D1E0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19450" y="828675"/>
          <a:ext cx="428625" cy="273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333375</xdr:colOff>
      <xdr:row>12</xdr:row>
      <xdr:rowOff>152400</xdr:rowOff>
    </xdr:from>
    <xdr:to>
      <xdr:col>9</xdr:col>
      <xdr:colOff>9524</xdr:colOff>
      <xdr:row>13</xdr:row>
      <xdr:rowOff>1</xdr:rowOff>
    </xdr:to>
    <xdr:sp macro="" textlink="">
      <xdr:nvSpPr>
        <xdr:cNvPr id="11" name="Line 43">
          <a:extLst>
            <a:ext uri="{FF2B5EF4-FFF2-40B4-BE49-F238E27FC236}">
              <a16:creationId xmlns:a16="http://schemas.microsoft.com/office/drawing/2014/main" id="{7C7FC38B-CCF1-446B-8118-9A9F1CAD9F0E}"/>
            </a:ext>
          </a:extLst>
        </xdr:cNvPr>
        <xdr:cNvSpPr>
          <a:spLocks noChangeShapeType="1"/>
        </xdr:cNvSpPr>
      </xdr:nvSpPr>
      <xdr:spPr bwMode="auto">
        <a:xfrm flipH="1">
          <a:off x="3629025" y="2419350"/>
          <a:ext cx="942974" cy="952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31</xdr:row>
      <xdr:rowOff>9524</xdr:rowOff>
    </xdr:from>
    <xdr:to>
      <xdr:col>6</xdr:col>
      <xdr:colOff>171450</xdr:colOff>
      <xdr:row>34</xdr:row>
      <xdr:rowOff>142875</xdr:rowOff>
    </xdr:to>
    <xdr:sp macro="" textlink="">
      <xdr:nvSpPr>
        <xdr:cNvPr id="12" name="Rectangle 3">
          <a:extLst>
            <a:ext uri="{FF2B5EF4-FFF2-40B4-BE49-F238E27FC236}">
              <a16:creationId xmlns:a16="http://schemas.microsoft.com/office/drawing/2014/main" id="{A02D31A4-04F2-4BA5-9384-5B93C14D8018}"/>
            </a:ext>
          </a:extLst>
        </xdr:cNvPr>
        <xdr:cNvSpPr>
          <a:spLocks noChangeArrowheads="1"/>
        </xdr:cNvSpPr>
      </xdr:nvSpPr>
      <xdr:spPr bwMode="auto">
        <a:xfrm>
          <a:off x="342900" y="5353049"/>
          <a:ext cx="2362200" cy="6191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&amp; D SOLUCOES ENERGETICAS LTDA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Brasil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12</xdr:col>
      <xdr:colOff>219075</xdr:colOff>
      <xdr:row>13</xdr:row>
      <xdr:rowOff>19050</xdr:rowOff>
    </xdr:from>
    <xdr:to>
      <xdr:col>12</xdr:col>
      <xdr:colOff>666750</xdr:colOff>
      <xdr:row>14</xdr:row>
      <xdr:rowOff>152400</xdr:rowOff>
    </xdr:to>
    <xdr:pic>
      <xdr:nvPicPr>
        <xdr:cNvPr id="13" name="Picture 96" descr="flags_of_Luxembourg2">
          <a:extLst>
            <a:ext uri="{FF2B5EF4-FFF2-40B4-BE49-F238E27FC236}">
              <a16:creationId xmlns:a16="http://schemas.microsoft.com/office/drawing/2014/main" id="{C00BAC7C-6137-47E9-A6BE-2E5CFA982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67550" y="2447925"/>
          <a:ext cx="4476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19</xdr:row>
      <xdr:rowOff>114300</xdr:rowOff>
    </xdr:from>
    <xdr:to>
      <xdr:col>5</xdr:col>
      <xdr:colOff>272114</xdr:colOff>
      <xdr:row>25</xdr:row>
      <xdr:rowOff>81213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DB9FA938-B1A9-44A4-97F9-F3F8EF8609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06" t="12858" r="11010" b="20061"/>
        <a:stretch/>
      </xdr:blipFill>
      <xdr:spPr>
        <a:xfrm>
          <a:off x="723900" y="3514725"/>
          <a:ext cx="1434164" cy="938463"/>
        </a:xfrm>
        <a:prstGeom prst="rect">
          <a:avLst/>
        </a:prstGeom>
      </xdr:spPr>
    </xdr:pic>
    <xdr:clientData/>
  </xdr:twoCellAnchor>
  <xdr:twoCellAnchor>
    <xdr:from>
      <xdr:col>5</xdr:col>
      <xdr:colOff>390525</xdr:colOff>
      <xdr:row>33</xdr:row>
      <xdr:rowOff>28575</xdr:rowOff>
    </xdr:from>
    <xdr:to>
      <xdr:col>6</xdr:col>
      <xdr:colOff>171450</xdr:colOff>
      <xdr:row>34</xdr:row>
      <xdr:rowOff>146050</xdr:rowOff>
    </xdr:to>
    <xdr:pic>
      <xdr:nvPicPr>
        <xdr:cNvPr id="15" name="Picture 26" descr="BRAZ001">
          <a:extLst>
            <a:ext uri="{FF2B5EF4-FFF2-40B4-BE49-F238E27FC236}">
              <a16:creationId xmlns:a16="http://schemas.microsoft.com/office/drawing/2014/main" id="{E014A9BB-6F3E-47A9-9642-E0184F0C8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76475" y="5695950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485773</xdr:colOff>
      <xdr:row>28</xdr:row>
      <xdr:rowOff>0</xdr:rowOff>
    </xdr:from>
    <xdr:to>
      <xdr:col>4</xdr:col>
      <xdr:colOff>495300</xdr:colOff>
      <xdr:row>31</xdr:row>
      <xdr:rowOff>9524</xdr:rowOff>
    </xdr:to>
    <xdr:sp macro="" textlink="">
      <xdr:nvSpPr>
        <xdr:cNvPr id="16" name="Line 43">
          <a:extLst>
            <a:ext uri="{FF2B5EF4-FFF2-40B4-BE49-F238E27FC236}">
              <a16:creationId xmlns:a16="http://schemas.microsoft.com/office/drawing/2014/main" id="{C0D8637C-369E-419C-B242-30F4E6E94F55}"/>
            </a:ext>
          </a:extLst>
        </xdr:cNvPr>
        <xdr:cNvSpPr>
          <a:spLocks noChangeShapeType="1"/>
        </xdr:cNvSpPr>
      </xdr:nvSpPr>
      <xdr:spPr bwMode="auto">
        <a:xfrm flipV="1">
          <a:off x="1828798" y="4857750"/>
          <a:ext cx="9527" cy="495299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676275</xdr:colOff>
      <xdr:row>4</xdr:row>
      <xdr:rowOff>114300</xdr:rowOff>
    </xdr:from>
    <xdr:to>
      <xdr:col>10</xdr:col>
      <xdr:colOff>676275</xdr:colOff>
      <xdr:row>9</xdr:row>
      <xdr:rowOff>142876</xdr:rowOff>
    </xdr:to>
    <xdr:sp macro="" textlink="">
      <xdr:nvSpPr>
        <xdr:cNvPr id="17" name="Line 43">
          <a:extLst>
            <a:ext uri="{FF2B5EF4-FFF2-40B4-BE49-F238E27FC236}">
              <a16:creationId xmlns:a16="http://schemas.microsoft.com/office/drawing/2014/main" id="{4AE61DF8-72DC-4C93-971B-C2ED7DBD185F}"/>
            </a:ext>
          </a:extLst>
        </xdr:cNvPr>
        <xdr:cNvSpPr>
          <a:spLocks noChangeShapeType="1"/>
        </xdr:cNvSpPr>
      </xdr:nvSpPr>
      <xdr:spPr bwMode="auto">
        <a:xfrm flipH="1">
          <a:off x="6000750" y="1085850"/>
          <a:ext cx="0" cy="8382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5</xdr:col>
      <xdr:colOff>333375</xdr:colOff>
      <xdr:row>19</xdr:row>
      <xdr:rowOff>123825</xdr:rowOff>
    </xdr:from>
    <xdr:to>
      <xdr:col>7</xdr:col>
      <xdr:colOff>357839</xdr:colOff>
      <xdr:row>25</xdr:row>
      <xdr:rowOff>90738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D4559001-252B-44A7-8912-A6838075E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06" t="12858" r="11010" b="20061"/>
        <a:stretch/>
      </xdr:blipFill>
      <xdr:spPr>
        <a:xfrm>
          <a:off x="2219325" y="3524250"/>
          <a:ext cx="1434164" cy="938463"/>
        </a:xfrm>
        <a:prstGeom prst="rect">
          <a:avLst/>
        </a:prstGeom>
      </xdr:spPr>
    </xdr:pic>
    <xdr:clientData/>
  </xdr:twoCellAnchor>
  <xdr:twoCellAnchor>
    <xdr:from>
      <xdr:col>6</xdr:col>
      <xdr:colOff>495299</xdr:colOff>
      <xdr:row>31</xdr:row>
      <xdr:rowOff>19049</xdr:rowOff>
    </xdr:from>
    <xdr:to>
      <xdr:col>10</xdr:col>
      <xdr:colOff>247649</xdr:colOff>
      <xdr:row>34</xdr:row>
      <xdr:rowOff>152400</xdr:rowOff>
    </xdr:to>
    <xdr:sp macro="" textlink="">
      <xdr:nvSpPr>
        <xdr:cNvPr id="19" name="Rectangle 3">
          <a:extLst>
            <a:ext uri="{FF2B5EF4-FFF2-40B4-BE49-F238E27FC236}">
              <a16:creationId xmlns:a16="http://schemas.microsoft.com/office/drawing/2014/main" id="{7B4AD9B7-E3B8-48AF-9571-CBE65DBD01D2}"/>
            </a:ext>
          </a:extLst>
        </xdr:cNvPr>
        <xdr:cNvSpPr>
          <a:spLocks noChangeArrowheads="1"/>
        </xdr:cNvSpPr>
      </xdr:nvSpPr>
      <xdr:spPr bwMode="auto">
        <a:xfrm>
          <a:off x="3028949" y="5362574"/>
          <a:ext cx="2543175" cy="6191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SGGS - SOLUCOES GLOBAIS DE GERACAO SOLAR LTDA</a:t>
          </a:r>
          <a:endParaRPr lang="it-IT" sz="1200" b="1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Brasil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571500</xdr:colOff>
      <xdr:row>33</xdr:row>
      <xdr:rowOff>38100</xdr:rowOff>
    </xdr:from>
    <xdr:to>
      <xdr:col>10</xdr:col>
      <xdr:colOff>238125</xdr:colOff>
      <xdr:row>34</xdr:row>
      <xdr:rowOff>155575</xdr:rowOff>
    </xdr:to>
    <xdr:pic>
      <xdr:nvPicPr>
        <xdr:cNvPr id="20" name="Picture 26" descr="BRAZ001">
          <a:extLst>
            <a:ext uri="{FF2B5EF4-FFF2-40B4-BE49-F238E27FC236}">
              <a16:creationId xmlns:a16="http://schemas.microsoft.com/office/drawing/2014/main" id="{326F1ADC-619D-4B5B-A18E-A6B9A010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705475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238124</xdr:colOff>
      <xdr:row>27</xdr:row>
      <xdr:rowOff>142874</xdr:rowOff>
    </xdr:from>
    <xdr:to>
      <xdr:col>7</xdr:col>
      <xdr:colOff>95249</xdr:colOff>
      <xdr:row>31</xdr:row>
      <xdr:rowOff>19049</xdr:rowOff>
    </xdr:to>
    <xdr:sp macro="" textlink="">
      <xdr:nvSpPr>
        <xdr:cNvPr id="21" name="Line 43">
          <a:extLst>
            <a:ext uri="{FF2B5EF4-FFF2-40B4-BE49-F238E27FC236}">
              <a16:creationId xmlns:a16="http://schemas.microsoft.com/office/drawing/2014/main" id="{87CA4982-7515-4FE8-96EF-6CB6D5AC33E6}"/>
            </a:ext>
          </a:extLst>
        </xdr:cNvPr>
        <xdr:cNvSpPr>
          <a:spLocks noChangeShapeType="1"/>
        </xdr:cNvSpPr>
      </xdr:nvSpPr>
      <xdr:spPr bwMode="auto">
        <a:xfrm flipH="1" flipV="1">
          <a:off x="2771774" y="4838699"/>
          <a:ext cx="619125" cy="5238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0</xdr:colOff>
      <xdr:row>4</xdr:row>
      <xdr:rowOff>123825</xdr:rowOff>
    </xdr:from>
    <xdr:to>
      <xdr:col>5</xdr:col>
      <xdr:colOff>0</xdr:colOff>
      <xdr:row>9</xdr:row>
      <xdr:rowOff>152401</xdr:rowOff>
    </xdr:to>
    <xdr:sp macro="" textlink="">
      <xdr:nvSpPr>
        <xdr:cNvPr id="22" name="Line 43">
          <a:extLst>
            <a:ext uri="{FF2B5EF4-FFF2-40B4-BE49-F238E27FC236}">
              <a16:creationId xmlns:a16="http://schemas.microsoft.com/office/drawing/2014/main" id="{758929D1-EDA6-4113-9A5C-005728293837}"/>
            </a:ext>
          </a:extLst>
        </xdr:cNvPr>
        <xdr:cNvSpPr>
          <a:spLocks noChangeShapeType="1"/>
        </xdr:cNvSpPr>
      </xdr:nvSpPr>
      <xdr:spPr bwMode="auto">
        <a:xfrm flipH="1">
          <a:off x="1885950" y="1095375"/>
          <a:ext cx="0" cy="8382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10</xdr:col>
      <xdr:colOff>533400</xdr:colOff>
      <xdr:row>20</xdr:row>
      <xdr:rowOff>47625</xdr:rowOff>
    </xdr:from>
    <xdr:to>
      <xdr:col>18</xdr:col>
      <xdr:colOff>952499</xdr:colOff>
      <xdr:row>38</xdr:row>
      <xdr:rowOff>66675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209CE206-1E14-4EE6-AE4B-461A7D78B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0" y="3286125"/>
          <a:ext cx="5867399" cy="2933700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6</xdr:row>
      <xdr:rowOff>0</xdr:rowOff>
    </xdr:from>
    <xdr:to>
      <xdr:col>9</xdr:col>
      <xdr:colOff>133350</xdr:colOff>
      <xdr:row>10</xdr:row>
      <xdr:rowOff>132159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A20F7558-C4DB-4361-B32E-6EDF9C7BD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971550"/>
          <a:ext cx="2495550" cy="779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663A-EAFE-4D9B-9C4D-92405618BAB2}">
  <sheetPr>
    <pageSetUpPr fitToPage="1"/>
  </sheetPr>
  <dimension ref="B1:S47"/>
  <sheetViews>
    <sheetView tabSelected="1" workbookViewId="0">
      <selection activeCell="J23" sqref="J23"/>
    </sheetView>
  </sheetViews>
  <sheetFormatPr defaultColWidth="11.42578125" defaultRowHeight="12.75" x14ac:dyDescent="0.2"/>
  <cols>
    <col min="1" max="1" width="2.140625" style="2" customWidth="1"/>
    <col min="2" max="4" width="5" style="2" customWidth="1"/>
    <col min="5" max="5" width="8.140625" style="2" customWidth="1"/>
    <col min="6" max="6" width="9.7109375" style="2" customWidth="1"/>
    <col min="7" max="8" width="11.42578125" style="2" customWidth="1"/>
    <col min="9" max="9" width="7.5703125" style="2" customWidth="1"/>
    <col min="10" max="12" width="11.42578125" style="2" customWidth="1"/>
    <col min="13" max="13" width="12.7109375" style="2" customWidth="1"/>
    <col min="14" max="14" width="5.5703125" style="3" customWidth="1"/>
    <col min="15" max="15" width="15.28515625" style="4" customWidth="1"/>
    <col min="16" max="16" width="11.140625" style="2" customWidth="1"/>
    <col min="17" max="17" width="2.7109375" style="2" customWidth="1"/>
    <col min="18" max="18" width="11.42578125" style="2"/>
    <col min="19" max="19" width="15" style="2" customWidth="1"/>
    <col min="20" max="20" width="2.42578125" style="2" customWidth="1"/>
    <col min="21" max="21" width="9.7109375" style="2" customWidth="1"/>
    <col min="22" max="16384" width="11.42578125" style="2"/>
  </cols>
  <sheetData>
    <row r="1" spans="2:19" x14ac:dyDescent="0.2">
      <c r="J1" s="6"/>
      <c r="K1" s="6"/>
    </row>
    <row r="2" spans="2:19" x14ac:dyDescent="0.2">
      <c r="J2" s="7"/>
      <c r="K2" s="8"/>
    </row>
    <row r="3" spans="2:19" x14ac:dyDescent="0.2">
      <c r="B3" s="6"/>
      <c r="O3" s="48" t="s">
        <v>0</v>
      </c>
      <c r="P3" s="49"/>
      <c r="Q3" s="49"/>
      <c r="R3" s="49"/>
      <c r="S3" s="50"/>
    </row>
    <row r="4" spans="2:19" x14ac:dyDescent="0.2">
      <c r="L4" s="9"/>
      <c r="O4" s="10"/>
      <c r="P4" s="11"/>
      <c r="Q4" s="12"/>
      <c r="R4" s="12"/>
      <c r="S4" s="13"/>
    </row>
    <row r="5" spans="2:19" x14ac:dyDescent="0.2">
      <c r="O5" s="14"/>
      <c r="R5" s="15" t="s">
        <v>1</v>
      </c>
      <c r="S5" s="13"/>
    </row>
    <row r="6" spans="2:19" x14ac:dyDescent="0.2">
      <c r="B6" s="1" t="s">
        <v>1</v>
      </c>
      <c r="F6" s="16" t="s">
        <v>2</v>
      </c>
      <c r="J6" s="1" t="s">
        <v>1</v>
      </c>
      <c r="K6" s="17"/>
      <c r="L6" s="16" t="s">
        <v>3</v>
      </c>
      <c r="O6" s="18">
        <v>1000</v>
      </c>
      <c r="P6" s="19">
        <f>O6/$O$21</f>
        <v>3.8314176245210726E-3</v>
      </c>
      <c r="Q6" s="20"/>
      <c r="R6" s="20" t="s">
        <v>4</v>
      </c>
      <c r="S6" s="21"/>
    </row>
    <row r="7" spans="2:19" x14ac:dyDescent="0.2">
      <c r="B7" s="1" t="s">
        <v>5</v>
      </c>
      <c r="C7" s="22"/>
      <c r="F7" s="23"/>
      <c r="G7" s="5"/>
      <c r="J7" s="24" t="s">
        <v>6</v>
      </c>
      <c r="K7" s="25"/>
      <c r="M7" s="26"/>
      <c r="N7" s="27"/>
      <c r="O7" s="28">
        <f>SUM(O6)</f>
        <v>1000</v>
      </c>
      <c r="P7" s="9">
        <f>SUM(P6)</f>
        <v>3.8314176245210726E-3</v>
      </c>
      <c r="R7" s="12"/>
      <c r="S7" s="13"/>
    </row>
    <row r="8" spans="2:19" x14ac:dyDescent="0.2">
      <c r="B8" s="24" t="s">
        <v>7</v>
      </c>
      <c r="C8" s="29"/>
      <c r="D8" s="29"/>
      <c r="E8" s="30" t="s">
        <v>8</v>
      </c>
      <c r="M8" s="26"/>
      <c r="N8" s="27"/>
      <c r="O8" s="31"/>
      <c r="P8" s="11"/>
      <c r="Q8" s="12"/>
      <c r="R8" s="15" t="s">
        <v>9</v>
      </c>
      <c r="S8" s="13"/>
    </row>
    <row r="9" spans="2:19" x14ac:dyDescent="0.2">
      <c r="B9" s="1"/>
      <c r="C9" s="32"/>
      <c r="D9" s="32"/>
      <c r="E9" s="32"/>
      <c r="F9" s="32"/>
      <c r="G9" s="12"/>
      <c r="H9" s="12"/>
      <c r="I9" s="12"/>
      <c r="J9" s="8"/>
      <c r="K9" s="7"/>
      <c r="L9" s="32"/>
      <c r="O9" s="33">
        <v>20000</v>
      </c>
      <c r="P9" s="11">
        <f>O9/$O$21</f>
        <v>7.662835249042145E-2</v>
      </c>
      <c r="Q9" s="12"/>
      <c r="R9" s="12" t="s">
        <v>10</v>
      </c>
      <c r="S9" s="34"/>
    </row>
    <row r="10" spans="2:19" x14ac:dyDescent="0.2">
      <c r="L10" s="32"/>
      <c r="O10" s="33">
        <v>20000</v>
      </c>
      <c r="P10" s="11">
        <f t="shared" ref="P10:P18" si="0">O10/$O$21</f>
        <v>7.662835249042145E-2</v>
      </c>
      <c r="Q10" s="12"/>
      <c r="R10" s="12" t="s">
        <v>11</v>
      </c>
      <c r="S10" s="34"/>
    </row>
    <row r="11" spans="2:19" x14ac:dyDescent="0.2">
      <c r="J11" s="1"/>
      <c r="L11" s="32"/>
      <c r="O11" s="33">
        <v>20000</v>
      </c>
      <c r="P11" s="11">
        <f t="shared" si="0"/>
        <v>7.662835249042145E-2</v>
      </c>
      <c r="Q11" s="12"/>
      <c r="R11" s="12" t="s">
        <v>12</v>
      </c>
      <c r="S11" s="13"/>
    </row>
    <row r="12" spans="2:19" x14ac:dyDescent="0.2">
      <c r="J12" s="35"/>
      <c r="L12" s="36"/>
      <c r="M12" s="12"/>
      <c r="N12" s="27"/>
      <c r="O12" s="33">
        <v>20000</v>
      </c>
      <c r="P12" s="11">
        <f t="shared" si="0"/>
        <v>7.662835249042145E-2</v>
      </c>
      <c r="Q12" s="12"/>
      <c r="R12" s="12" t="s">
        <v>13</v>
      </c>
      <c r="S12" s="13"/>
    </row>
    <row r="13" spans="2:19" x14ac:dyDescent="0.2">
      <c r="I13" s="22"/>
      <c r="L13" s="36"/>
      <c r="M13" s="12"/>
      <c r="N13" s="27"/>
      <c r="O13" s="33">
        <v>40000</v>
      </c>
      <c r="P13" s="11">
        <f t="shared" si="0"/>
        <v>0.1532567049808429</v>
      </c>
      <c r="Q13" s="12"/>
      <c r="R13" s="12" t="s">
        <v>14</v>
      </c>
      <c r="S13" s="13"/>
    </row>
    <row r="14" spans="2:19" x14ac:dyDescent="0.2">
      <c r="O14" s="33">
        <v>40000</v>
      </c>
      <c r="P14" s="11">
        <f t="shared" si="0"/>
        <v>0.1532567049808429</v>
      </c>
      <c r="Q14" s="12"/>
      <c r="R14" s="12" t="s">
        <v>15</v>
      </c>
      <c r="S14" s="13"/>
    </row>
    <row r="15" spans="2:19" x14ac:dyDescent="0.2">
      <c r="B15" s="6"/>
      <c r="O15" s="33">
        <v>20000</v>
      </c>
      <c r="P15" s="11">
        <f t="shared" si="0"/>
        <v>7.662835249042145E-2</v>
      </c>
      <c r="Q15" s="12"/>
      <c r="R15" s="12" t="s">
        <v>16</v>
      </c>
      <c r="S15" s="13"/>
    </row>
    <row r="16" spans="2:19" x14ac:dyDescent="0.2">
      <c r="B16" s="1" t="s">
        <v>17</v>
      </c>
      <c r="F16" s="16" t="s">
        <v>18</v>
      </c>
      <c r="J16" s="1" t="s">
        <v>19</v>
      </c>
      <c r="K16" s="16"/>
      <c r="L16" s="16" t="s">
        <v>20</v>
      </c>
      <c r="O16" s="33">
        <v>20000</v>
      </c>
      <c r="P16" s="11">
        <f t="shared" si="0"/>
        <v>7.662835249042145E-2</v>
      </c>
      <c r="Q16" s="12"/>
      <c r="R16" s="12" t="s">
        <v>21</v>
      </c>
      <c r="S16" s="13"/>
    </row>
    <row r="17" spans="2:19" x14ac:dyDescent="0.2">
      <c r="B17" s="24" t="s">
        <v>22</v>
      </c>
      <c r="F17" s="16"/>
      <c r="I17" s="5"/>
      <c r="J17" s="24" t="s">
        <v>23</v>
      </c>
      <c r="K17" s="37">
        <v>0.99781732000000001</v>
      </c>
      <c r="L17" s="23"/>
      <c r="O17" s="33">
        <v>40000</v>
      </c>
      <c r="P17" s="11">
        <f t="shared" si="0"/>
        <v>0.1532567049808429</v>
      </c>
      <c r="Q17" s="12"/>
      <c r="R17" s="12" t="s">
        <v>24</v>
      </c>
      <c r="S17" s="34"/>
    </row>
    <row r="18" spans="2:19" x14ac:dyDescent="0.2">
      <c r="B18" s="6"/>
      <c r="I18" s="38"/>
      <c r="O18" s="18">
        <v>20000</v>
      </c>
      <c r="P18" s="19">
        <f t="shared" si="0"/>
        <v>7.662835249042145E-2</v>
      </c>
      <c r="Q18" s="20"/>
      <c r="R18" s="20" t="s">
        <v>25</v>
      </c>
      <c r="S18" s="39"/>
    </row>
    <row r="19" spans="2:19" x14ac:dyDescent="0.2">
      <c r="J19" s="40"/>
      <c r="O19" s="28">
        <f>SUM(O9:O18)</f>
        <v>260000</v>
      </c>
      <c r="P19" s="9">
        <f>SUM(P9:P18)</f>
        <v>0.99616858237547878</v>
      </c>
      <c r="S19" s="34"/>
    </row>
    <row r="20" spans="2:19" x14ac:dyDescent="0.2">
      <c r="O20" s="41"/>
      <c r="P20" s="20"/>
      <c r="Q20" s="20"/>
      <c r="R20" s="42"/>
      <c r="S20" s="21"/>
    </row>
    <row r="21" spans="2:19" x14ac:dyDescent="0.2">
      <c r="O21" s="43">
        <f>O7+O19</f>
        <v>261000</v>
      </c>
      <c r="P21" s="44">
        <f>P7+P19</f>
        <v>0.99999999999999989</v>
      </c>
      <c r="Q21" s="42"/>
      <c r="R21" s="42"/>
      <c r="S21" s="21"/>
    </row>
    <row r="22" spans="2:19" x14ac:dyDescent="0.2">
      <c r="I22" s="38"/>
    </row>
    <row r="24" spans="2:19" x14ac:dyDescent="0.2">
      <c r="G24" s="6"/>
      <c r="H24" s="6"/>
      <c r="J24" s="8"/>
      <c r="K24" s="16"/>
      <c r="L24" s="16"/>
      <c r="O24" s="45"/>
    </row>
    <row r="25" spans="2:19" x14ac:dyDescent="0.2">
      <c r="G25" s="6"/>
      <c r="H25" s="6"/>
      <c r="I25" s="22"/>
      <c r="L25" s="16"/>
      <c r="O25" s="46"/>
      <c r="P25" s="12"/>
      <c r="Q25" s="12"/>
    </row>
    <row r="26" spans="2:19" x14ac:dyDescent="0.2">
      <c r="G26" s="6"/>
      <c r="H26" s="6"/>
      <c r="I26" s="22"/>
      <c r="L26" s="16"/>
      <c r="O26" s="46"/>
      <c r="P26" s="12"/>
      <c r="Q26" s="12"/>
    </row>
    <row r="27" spans="2:19" x14ac:dyDescent="0.2">
      <c r="D27" s="12" t="s">
        <v>26</v>
      </c>
      <c r="G27" s="12" t="s">
        <v>27</v>
      </c>
      <c r="I27" s="12"/>
      <c r="K27" s="12"/>
      <c r="O27" s="12"/>
      <c r="P27" s="12"/>
      <c r="Q27" s="12"/>
    </row>
    <row r="28" spans="2:19" x14ac:dyDescent="0.2">
      <c r="J28" s="16"/>
      <c r="O28" s="12"/>
    </row>
    <row r="29" spans="2:19" x14ac:dyDescent="0.2">
      <c r="G29" s="6"/>
      <c r="J29" s="16"/>
      <c r="K29" s="22"/>
      <c r="O29" s="12"/>
    </row>
    <row r="30" spans="2:19" x14ac:dyDescent="0.2">
      <c r="G30" s="6"/>
      <c r="J30" s="16"/>
      <c r="L30" s="12"/>
    </row>
    <row r="31" spans="2:19" x14ac:dyDescent="0.2">
      <c r="L31" s="12"/>
      <c r="M31" s="22"/>
      <c r="N31" s="5"/>
      <c r="O31" s="47"/>
    </row>
    <row r="33" spans="2:18" x14ac:dyDescent="0.2">
      <c r="O33" s="47"/>
    </row>
    <row r="34" spans="2:18" x14ac:dyDescent="0.2">
      <c r="L34" s="12"/>
      <c r="O34" s="47"/>
    </row>
    <row r="35" spans="2:18" x14ac:dyDescent="0.2">
      <c r="L35" s="12"/>
    </row>
    <row r="36" spans="2:18" x14ac:dyDescent="0.2">
      <c r="E36" s="16" t="s">
        <v>28</v>
      </c>
      <c r="I36" s="16" t="s">
        <v>29</v>
      </c>
    </row>
    <row r="37" spans="2:18" x14ac:dyDescent="0.2">
      <c r="B37" s="1" t="s">
        <v>30</v>
      </c>
      <c r="H37" s="1" t="s">
        <v>31</v>
      </c>
      <c r="O37" s="47"/>
    </row>
    <row r="38" spans="2:18" x14ac:dyDescent="0.2">
      <c r="R38" s="2" t="s">
        <v>32</v>
      </c>
    </row>
    <row r="40" spans="2:18" x14ac:dyDescent="0.2">
      <c r="O40" s="47"/>
    </row>
    <row r="43" spans="2:18" x14ac:dyDescent="0.2">
      <c r="O43" s="47"/>
    </row>
    <row r="45" spans="2:18" x14ac:dyDescent="0.2">
      <c r="O45" s="47"/>
    </row>
    <row r="47" spans="2:18" x14ac:dyDescent="0.2">
      <c r="O47" s="47"/>
      <c r="P47" s="16"/>
    </row>
  </sheetData>
  <mergeCells count="1">
    <mergeCell ref="O3:S3"/>
  </mergeCells>
  <pageMargins left="0.25" right="0.25" top="0.75" bottom="0.75" header="0.3" footer="0.3"/>
  <pageSetup paperSize="9" scale="8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317B-C26E-4E0A-85F0-6D9B932BAE4B}">
  <sheetPr>
    <pageSetUpPr fitToPage="1"/>
  </sheetPr>
  <dimension ref="B1:S47"/>
  <sheetViews>
    <sheetView workbookViewId="0">
      <selection activeCell="Y30" sqref="Y30"/>
    </sheetView>
  </sheetViews>
  <sheetFormatPr defaultColWidth="11.42578125" defaultRowHeight="12.75" x14ac:dyDescent="0.2"/>
  <cols>
    <col min="1" max="1" width="2.7109375" style="2" customWidth="1"/>
    <col min="2" max="4" width="5" style="2" customWidth="1"/>
    <col min="5" max="5" width="8.140625" style="2" customWidth="1"/>
    <col min="6" max="6" width="9.7109375" style="2" customWidth="1"/>
    <col min="7" max="8" width="11.42578125" style="2" customWidth="1"/>
    <col min="9" max="9" width="7.5703125" style="2" customWidth="1"/>
    <col min="10" max="12" width="11.42578125" style="2" customWidth="1"/>
    <col min="13" max="13" width="12.7109375" style="2" customWidth="1"/>
    <col min="14" max="14" width="5.5703125" style="3" customWidth="1"/>
    <col min="15" max="15" width="15.28515625" style="4" customWidth="1"/>
    <col min="16" max="16" width="11.140625" style="2" customWidth="1"/>
    <col min="17" max="17" width="2.7109375" style="2" customWidth="1"/>
    <col min="18" max="18" width="11.42578125" style="2"/>
    <col min="19" max="19" width="15" style="2" customWidth="1"/>
    <col min="20" max="20" width="2.42578125" style="2" customWidth="1"/>
    <col min="21" max="21" width="9.7109375" style="2" customWidth="1"/>
    <col min="22" max="16384" width="11.42578125" style="2"/>
  </cols>
  <sheetData>
    <row r="1" spans="2:19" x14ac:dyDescent="0.2">
      <c r="J1" s="6"/>
      <c r="K1" s="6"/>
    </row>
    <row r="2" spans="2:19" x14ac:dyDescent="0.2">
      <c r="J2" s="7"/>
      <c r="K2" s="8"/>
    </row>
    <row r="3" spans="2:19" x14ac:dyDescent="0.2">
      <c r="B3" s="6"/>
      <c r="O3" s="48" t="s">
        <v>0</v>
      </c>
      <c r="P3" s="49"/>
      <c r="Q3" s="49"/>
      <c r="R3" s="49"/>
      <c r="S3" s="50"/>
    </row>
    <row r="4" spans="2:19" x14ac:dyDescent="0.2">
      <c r="L4" s="9"/>
      <c r="O4" s="10"/>
      <c r="P4" s="11"/>
      <c r="Q4" s="12"/>
      <c r="R4" s="12"/>
      <c r="S4" s="13"/>
    </row>
    <row r="5" spans="2:19" x14ac:dyDescent="0.2">
      <c r="O5" s="14"/>
      <c r="R5" s="15" t="s">
        <v>1</v>
      </c>
      <c r="S5" s="13"/>
    </row>
    <row r="6" spans="2:19" x14ac:dyDescent="0.2">
      <c r="B6" s="1" t="s">
        <v>1</v>
      </c>
      <c r="F6" s="16" t="s">
        <v>2</v>
      </c>
      <c r="J6" s="1" t="s">
        <v>1</v>
      </c>
      <c r="K6" s="17"/>
      <c r="L6" s="16" t="s">
        <v>3</v>
      </c>
      <c r="O6" s="18">
        <v>1000</v>
      </c>
      <c r="P6" s="19">
        <f>O6/$O$21</f>
        <v>3.8314176245210726E-3</v>
      </c>
      <c r="Q6" s="20"/>
      <c r="R6" s="20" t="s">
        <v>33</v>
      </c>
      <c r="S6" s="21"/>
    </row>
    <row r="7" spans="2:19" x14ac:dyDescent="0.2">
      <c r="B7" s="1" t="s">
        <v>5</v>
      </c>
      <c r="C7" s="22"/>
      <c r="F7" s="23"/>
      <c r="G7" s="5"/>
      <c r="J7" s="24" t="s">
        <v>6</v>
      </c>
      <c r="K7" s="25"/>
      <c r="M7" s="26"/>
      <c r="N7" s="27"/>
      <c r="O7" s="28">
        <f>SUM(O6)</f>
        <v>1000</v>
      </c>
      <c r="P7" s="9">
        <f>SUM(P6)</f>
        <v>3.8314176245210726E-3</v>
      </c>
      <c r="R7" s="12"/>
      <c r="S7" s="13"/>
    </row>
    <row r="8" spans="2:19" x14ac:dyDescent="0.2">
      <c r="B8" s="24" t="s">
        <v>7</v>
      </c>
      <c r="C8" s="29"/>
      <c r="D8" s="29"/>
      <c r="E8" s="30" t="s">
        <v>8</v>
      </c>
      <c r="M8" s="26"/>
      <c r="N8" s="27"/>
      <c r="O8" s="31"/>
      <c r="P8" s="11"/>
      <c r="Q8" s="12"/>
      <c r="R8" s="15" t="s">
        <v>9</v>
      </c>
      <c r="S8" s="13"/>
    </row>
    <row r="9" spans="2:19" x14ac:dyDescent="0.2">
      <c r="B9" s="1"/>
      <c r="C9" s="32"/>
      <c r="D9" s="32"/>
      <c r="E9" s="32"/>
      <c r="F9" s="32"/>
      <c r="G9" s="12"/>
      <c r="H9" s="12"/>
      <c r="I9" s="12"/>
      <c r="J9" s="8"/>
      <c r="K9" s="7"/>
      <c r="L9" s="32"/>
      <c r="O9" s="33">
        <v>20000</v>
      </c>
      <c r="P9" s="11">
        <f>O9/$O$21</f>
        <v>7.662835249042145E-2</v>
      </c>
      <c r="Q9" s="12"/>
      <c r="R9" s="12" t="s">
        <v>34</v>
      </c>
      <c r="S9" s="34"/>
    </row>
    <row r="10" spans="2:19" x14ac:dyDescent="0.2">
      <c r="L10" s="32"/>
      <c r="O10" s="33">
        <v>20000</v>
      </c>
      <c r="P10" s="11">
        <f t="shared" ref="P10:P18" si="0">O10/$O$21</f>
        <v>7.662835249042145E-2</v>
      </c>
      <c r="Q10" s="12"/>
      <c r="R10" s="12" t="s">
        <v>35</v>
      </c>
      <c r="S10" s="34"/>
    </row>
    <row r="11" spans="2:19" x14ac:dyDescent="0.2">
      <c r="J11" s="1"/>
      <c r="L11" s="32"/>
      <c r="O11" s="33">
        <v>20000</v>
      </c>
      <c r="P11" s="11">
        <f t="shared" si="0"/>
        <v>7.662835249042145E-2</v>
      </c>
      <c r="Q11" s="12"/>
      <c r="R11" s="12" t="s">
        <v>36</v>
      </c>
      <c r="S11" s="13"/>
    </row>
    <row r="12" spans="2:19" x14ac:dyDescent="0.2">
      <c r="J12" s="35"/>
      <c r="L12" s="36"/>
      <c r="M12" s="12"/>
      <c r="N12" s="27"/>
      <c r="O12" s="33">
        <v>20000</v>
      </c>
      <c r="P12" s="11">
        <f t="shared" si="0"/>
        <v>7.662835249042145E-2</v>
      </c>
      <c r="Q12" s="12"/>
      <c r="R12" s="12" t="s">
        <v>37</v>
      </c>
      <c r="S12" s="13"/>
    </row>
    <row r="13" spans="2:19" x14ac:dyDescent="0.2">
      <c r="I13" s="22"/>
      <c r="L13" s="36"/>
      <c r="M13" s="12"/>
      <c r="N13" s="27"/>
      <c r="O13" s="33">
        <v>40000</v>
      </c>
      <c r="P13" s="11">
        <f t="shared" si="0"/>
        <v>0.1532567049808429</v>
      </c>
      <c r="Q13" s="12"/>
      <c r="R13" s="12" t="s">
        <v>38</v>
      </c>
      <c r="S13" s="13"/>
    </row>
    <row r="14" spans="2:19" x14ac:dyDescent="0.2">
      <c r="O14" s="33">
        <v>40000</v>
      </c>
      <c r="P14" s="11">
        <f t="shared" si="0"/>
        <v>0.1532567049808429</v>
      </c>
      <c r="Q14" s="12"/>
      <c r="R14" s="12" t="s">
        <v>39</v>
      </c>
      <c r="S14" s="13"/>
    </row>
    <row r="15" spans="2:19" x14ac:dyDescent="0.2">
      <c r="B15" s="6"/>
      <c r="O15" s="33">
        <v>20000</v>
      </c>
      <c r="P15" s="11">
        <f t="shared" si="0"/>
        <v>7.662835249042145E-2</v>
      </c>
      <c r="Q15" s="12"/>
      <c r="R15" s="12" t="s">
        <v>40</v>
      </c>
      <c r="S15" s="13"/>
    </row>
    <row r="16" spans="2:19" x14ac:dyDescent="0.2">
      <c r="B16" s="1" t="s">
        <v>17</v>
      </c>
      <c r="F16" s="16" t="s">
        <v>18</v>
      </c>
      <c r="J16" s="1" t="s">
        <v>19</v>
      </c>
      <c r="K16" s="16"/>
      <c r="L16" s="16" t="s">
        <v>20</v>
      </c>
      <c r="O16" s="33">
        <v>20000</v>
      </c>
      <c r="P16" s="11">
        <f t="shared" si="0"/>
        <v>7.662835249042145E-2</v>
      </c>
      <c r="Q16" s="12"/>
      <c r="R16" s="12" t="s">
        <v>41</v>
      </c>
      <c r="S16" s="13"/>
    </row>
    <row r="17" spans="2:19" x14ac:dyDescent="0.2">
      <c r="B17" s="24" t="s">
        <v>22</v>
      </c>
      <c r="F17" s="16"/>
      <c r="I17" s="5"/>
      <c r="J17" s="24" t="s">
        <v>23</v>
      </c>
      <c r="K17" s="37">
        <v>0.99781732000000001</v>
      </c>
      <c r="L17" s="23"/>
      <c r="O17" s="33">
        <v>40000</v>
      </c>
      <c r="P17" s="11">
        <f t="shared" si="0"/>
        <v>0.1532567049808429</v>
      </c>
      <c r="Q17" s="12"/>
      <c r="R17" s="12" t="s">
        <v>42</v>
      </c>
      <c r="S17" s="34"/>
    </row>
    <row r="18" spans="2:19" x14ac:dyDescent="0.2">
      <c r="B18" s="6"/>
      <c r="I18" s="38"/>
      <c r="O18" s="18">
        <v>20000</v>
      </c>
      <c r="P18" s="19">
        <f t="shared" si="0"/>
        <v>7.662835249042145E-2</v>
      </c>
      <c r="Q18" s="20"/>
      <c r="R18" s="20" t="s">
        <v>43</v>
      </c>
      <c r="S18" s="39"/>
    </row>
    <row r="19" spans="2:19" x14ac:dyDescent="0.2">
      <c r="J19" s="40"/>
      <c r="O19" s="28">
        <f>SUM(O9:O18)</f>
        <v>260000</v>
      </c>
      <c r="P19" s="9">
        <f>SUM(P9:P18)</f>
        <v>0.99616858237547878</v>
      </c>
      <c r="S19" s="34"/>
    </row>
    <row r="20" spans="2:19" x14ac:dyDescent="0.2">
      <c r="O20" s="41"/>
      <c r="P20" s="20"/>
      <c r="Q20" s="20"/>
      <c r="R20" s="42"/>
      <c r="S20" s="21"/>
    </row>
    <row r="21" spans="2:19" x14ac:dyDescent="0.2">
      <c r="O21" s="43">
        <f>O7+O19</f>
        <v>261000</v>
      </c>
      <c r="P21" s="44">
        <f>P7+P19</f>
        <v>0.99999999999999989</v>
      </c>
      <c r="Q21" s="42"/>
      <c r="R21" s="42"/>
      <c r="S21" s="21"/>
    </row>
    <row r="22" spans="2:19" x14ac:dyDescent="0.2">
      <c r="I22" s="38"/>
    </row>
    <row r="24" spans="2:19" x14ac:dyDescent="0.2">
      <c r="G24" s="6"/>
      <c r="H24" s="6"/>
      <c r="J24" s="8"/>
      <c r="K24" s="16"/>
      <c r="L24" s="16"/>
      <c r="O24" s="45"/>
    </row>
    <row r="25" spans="2:19" x14ac:dyDescent="0.2">
      <c r="G25" s="6"/>
      <c r="H25" s="6"/>
      <c r="I25" s="22"/>
      <c r="L25" s="16"/>
      <c r="O25" s="46"/>
      <c r="P25" s="12"/>
      <c r="Q25" s="12"/>
    </row>
    <row r="26" spans="2:19" x14ac:dyDescent="0.2">
      <c r="G26" s="6"/>
      <c r="H26" s="6"/>
      <c r="I26" s="22"/>
      <c r="L26" s="16"/>
      <c r="O26" s="46"/>
      <c r="P26" s="12"/>
      <c r="Q26" s="12"/>
    </row>
    <row r="27" spans="2:19" x14ac:dyDescent="0.2">
      <c r="D27" s="12" t="s">
        <v>26</v>
      </c>
      <c r="G27" s="12" t="s">
        <v>27</v>
      </c>
      <c r="I27" s="12"/>
      <c r="K27" s="12"/>
      <c r="O27" s="12"/>
      <c r="P27" s="12"/>
      <c r="Q27" s="12"/>
    </row>
    <row r="28" spans="2:19" x14ac:dyDescent="0.2">
      <c r="J28" s="16"/>
      <c r="O28" s="12"/>
    </row>
    <row r="29" spans="2:19" x14ac:dyDescent="0.2">
      <c r="G29" s="6"/>
      <c r="J29" s="16"/>
      <c r="K29" s="22"/>
      <c r="O29" s="12"/>
    </row>
    <row r="30" spans="2:19" x14ac:dyDescent="0.2">
      <c r="G30" s="6"/>
      <c r="J30" s="16"/>
      <c r="L30" s="12"/>
    </row>
    <row r="31" spans="2:19" x14ac:dyDescent="0.2">
      <c r="L31" s="12"/>
      <c r="M31" s="22"/>
      <c r="N31" s="5"/>
      <c r="O31" s="47"/>
    </row>
    <row r="33" spans="2:18" x14ac:dyDescent="0.2">
      <c r="O33" s="47"/>
    </row>
    <row r="34" spans="2:18" x14ac:dyDescent="0.2">
      <c r="L34" s="12"/>
      <c r="O34" s="47"/>
    </row>
    <row r="35" spans="2:18" x14ac:dyDescent="0.2">
      <c r="L35" s="12"/>
    </row>
    <row r="36" spans="2:18" x14ac:dyDescent="0.2">
      <c r="E36" s="16" t="s">
        <v>28</v>
      </c>
      <c r="I36" s="16" t="s">
        <v>29</v>
      </c>
    </row>
    <row r="37" spans="2:18" x14ac:dyDescent="0.2">
      <c r="B37" s="1" t="s">
        <v>30</v>
      </c>
      <c r="H37" s="1" t="s">
        <v>31</v>
      </c>
      <c r="O37" s="47"/>
    </row>
    <row r="38" spans="2:18" x14ac:dyDescent="0.2">
      <c r="R38" s="2" t="s">
        <v>32</v>
      </c>
    </row>
    <row r="40" spans="2:18" x14ac:dyDescent="0.2">
      <c r="O40" s="47"/>
    </row>
    <row r="43" spans="2:18" x14ac:dyDescent="0.2">
      <c r="O43" s="47"/>
    </row>
    <row r="45" spans="2:18" x14ac:dyDescent="0.2">
      <c r="O45" s="47"/>
    </row>
    <row r="47" spans="2:18" x14ac:dyDescent="0.2">
      <c r="O47" s="47"/>
      <c r="P47" s="16"/>
    </row>
  </sheetData>
  <mergeCells count="1">
    <mergeCell ref="O3:S3"/>
  </mergeCells>
  <pageMargins left="0.25" right="0.25" top="0.75" bottom="0.75" header="0.3" footer="0.3"/>
  <pageSetup paperSize="9"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Schema GREEN ENERBRAS</vt:lpstr>
      <vt:lpstr>Schema GREEN ENERBRAS anonimo</vt:lpstr>
      <vt:lpstr>'Schema GREEN ENERBRAS'!Area_stampa</vt:lpstr>
      <vt:lpstr>'Schema GREEN ENERBRAS anonimo'!Area_stampa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Tubia</dc:creator>
  <cp:lastModifiedBy>Edoardo</cp:lastModifiedBy>
  <cp:lastPrinted>2026-09-12T18:56:07Z</cp:lastPrinted>
  <dcterms:created xsi:type="dcterms:W3CDTF">2026-09-06T09:30:10Z</dcterms:created>
  <dcterms:modified xsi:type="dcterms:W3CDTF">2026-09-12T18:56:14Z</dcterms:modified>
</cp:coreProperties>
</file>