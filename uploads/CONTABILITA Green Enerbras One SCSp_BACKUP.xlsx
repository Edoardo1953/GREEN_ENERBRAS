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REEN ENERBRAS ONE SCSp\GREEN ENERBRAS ONE SCSp\BILAN\"/>
    </mc:Choice>
  </mc:AlternateContent>
  <xr:revisionPtr revIDLastSave="0" documentId="13_ncr:1_{82A640EC-5DD9-4561-AD94-4E5CF0EE7A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te Banque" sheetId="3" r:id="rId1"/>
    <sheet name="COMPTAB" sheetId="1" r:id="rId2"/>
    <sheet name="Pivot" sheetId="2" r:id="rId3"/>
    <sheet name="Transfer" sheetId="12" r:id="rId4"/>
    <sheet name="Frais anticipés" sheetId="7" r:id="rId5"/>
    <sheet name="Participation Fee" sheetId="13" r:id="rId6"/>
  </sheets>
  <externalReferences>
    <externalReference r:id="rId7"/>
  </externalReferences>
  <definedNames>
    <definedName name="_xlnm._FilterDatabase" localSheetId="1" hidden="1">COMPTAB!$A$1:$Y$70</definedName>
    <definedName name="_xlnm._FilterDatabase" localSheetId="0" hidden="1">'Compte Banque'!$B$6:$R$72</definedName>
    <definedName name="aaa" localSheetId="1">#REF!</definedName>
    <definedName name="aaa">#REF!</definedName>
    <definedName name="Anniversaire" localSheetId="1">#REF!,#REF!,#REF!,#REF!</definedName>
    <definedName name="Anniversaire">#REF!,#REF!,#REF!,#REF!</definedName>
    <definedName name="_xlnm.Print_Area" localSheetId="0">'Compte Banque'!$J$42:$Q$52</definedName>
    <definedName name="_xlnm.Print_Area" localSheetId="4">'Frais anticipés'!$B$2:$N$15</definedName>
    <definedName name="_xlnm.Print_Area" localSheetId="5">'Participation Fee'!$B$1:$O$45</definedName>
    <definedName name="CAP1E" localSheetId="1">#REF!</definedName>
    <definedName name="CAP1E">#REF!</definedName>
    <definedName name="CapitFIXE" localSheetId="1">#REF!</definedName>
    <definedName name="CapitFIXE" localSheetId="0">#REF!</definedName>
    <definedName name="CapitFIXE">#REF!</definedName>
    <definedName name="Changement_de_taux" localSheetId="1">#REF!</definedName>
    <definedName name="Changement_de_taux">#REF!</definedName>
    <definedName name="Cout_Total" localSheetId="1">#REF!</definedName>
    <definedName name="Cout_Total">#REF!</definedName>
    <definedName name="DATDB" localSheetId="1">#REF!</definedName>
    <definedName name="DATDB">#REF!</definedName>
    <definedName name="DebAmort" localSheetId="1">#REF!</definedName>
    <definedName name="DebAmort">#REF!</definedName>
    <definedName name="Différé" localSheetId="1">#REF!</definedName>
    <definedName name="Différé">#REF!</definedName>
    <definedName name="DiffSimple" localSheetId="1">#REF!</definedName>
    <definedName name="DiffSimple">#REF!</definedName>
    <definedName name="DiffTotal" localSheetId="1">#REF!</definedName>
    <definedName name="DiffTotal">#REF!</definedName>
    <definedName name="EchFIXE" localSheetId="1">#REF!</definedName>
    <definedName name="EchFIXE">#REF!</definedName>
    <definedName name="FraisF" localSheetId="1">#REF!</definedName>
    <definedName name="FraisF">#REF!</definedName>
    <definedName name="FraisV" localSheetId="1">#REF!</definedName>
    <definedName name="FraisV">#REF!</definedName>
    <definedName name="Ijour" localSheetId="1">#REF!</definedName>
    <definedName name="Ijour">#REF!</definedName>
    <definedName name="Imois" localSheetId="1">#REF!</definedName>
    <definedName name="Imois">#REF!</definedName>
    <definedName name="INT1E" localSheetId="1">#REF!</definedName>
    <definedName name="INT1E">#REF!</definedName>
    <definedName name="Jour1" localSheetId="1">#REF!</definedName>
    <definedName name="Jour1">#REF!</definedName>
    <definedName name="Jour2" localSheetId="1">#REF!</definedName>
    <definedName name="Jour2">#REF!</definedName>
    <definedName name="MoisD" localSheetId="1">#REF!</definedName>
    <definedName name="MoisD">#REF!</definedName>
    <definedName name="MtEch" localSheetId="1">#REF!</definedName>
    <definedName name="MtEch">#REF!</definedName>
    <definedName name="MtEmprunt" localSheetId="1">#REF!</definedName>
    <definedName name="MtEmprunt">#REF!</definedName>
    <definedName name="NbDeci" localSheetId="1">#REF!</definedName>
    <definedName name="NbDeci">#REF!</definedName>
    <definedName name="NbEch" localSheetId="1">#REF!</definedName>
    <definedName name="NbEch">#REF!</definedName>
    <definedName name="NbEchAn" localSheetId="1">#REF!</definedName>
    <definedName name="NbEchAn">#REF!</definedName>
    <definedName name="NoEchMaxi" localSheetId="1">#REF!</definedName>
    <definedName name="NoEchMaxi">#REF!</definedName>
    <definedName name="NoEchRemb" localSheetId="1">#REF!</definedName>
    <definedName name="NoEchRemb">#REF!</definedName>
    <definedName name="Nombre_échéances" localSheetId="1">#REF!</definedName>
    <definedName name="Nombre_échéances">#REF!</definedName>
    <definedName name="Periodicite" localSheetId="1">#REF!</definedName>
    <definedName name="Periodicite">#REF!</definedName>
    <definedName name="RVDebit" localSheetId="1">#REF!</definedName>
    <definedName name="RVDebit" localSheetId="0">#REF!</definedName>
    <definedName name="RVDebit">#REF!</definedName>
    <definedName name="TauxActuariel" localSheetId="1">#REF!</definedName>
    <definedName name="TauxActuariel">#REF!</definedName>
    <definedName name="Total_Capital" localSheetId="1">#REF!</definedName>
    <definedName name="Total_Capital">#REF!</definedName>
    <definedName name="Total_Frais" localSheetId="1">#REF!</definedName>
    <definedName name="Total_Frais">#REF!</definedName>
    <definedName name="Total_Intérêts" localSheetId="1">#REF!</definedName>
    <definedName name="Total_Intérêts">#REF!</definedName>
    <definedName name="TVDebit" localSheetId="1">#REF!</definedName>
    <definedName name="TVDebit">#REF!</definedName>
    <definedName name="TxPer" localSheetId="1">#REF!</definedName>
    <definedName name="TxPer">#REF!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12" l="1"/>
  <c r="H41" i="12"/>
  <c r="H44" i="12" s="1"/>
  <c r="H46" i="12" s="1"/>
  <c r="G65" i="1"/>
  <c r="I65" i="1"/>
  <c r="F65" i="1"/>
  <c r="F48" i="12"/>
  <c r="F41" i="12"/>
  <c r="L62" i="1"/>
  <c r="D62" i="1"/>
  <c r="C62" i="1"/>
  <c r="L61" i="1"/>
  <c r="G61" i="1"/>
  <c r="D61" i="1"/>
  <c r="C61" i="1"/>
  <c r="Q68" i="3"/>
  <c r="F68" i="3"/>
  <c r="E68" i="3"/>
  <c r="Q67" i="3"/>
  <c r="F67" i="3"/>
  <c r="E67" i="3"/>
  <c r="I58" i="1"/>
  <c r="L60" i="1"/>
  <c r="D60" i="1"/>
  <c r="C60" i="1"/>
  <c r="Q66" i="3"/>
  <c r="F66" i="3"/>
  <c r="E66" i="3"/>
  <c r="O64" i="3"/>
  <c r="O65" i="3" s="1"/>
  <c r="D59" i="1"/>
  <c r="C59" i="1"/>
  <c r="D58" i="1"/>
  <c r="C58" i="1"/>
  <c r="L57" i="1"/>
  <c r="D57" i="1"/>
  <c r="C57" i="1"/>
  <c r="L56" i="1"/>
  <c r="D56" i="1"/>
  <c r="C56" i="1"/>
  <c r="F65" i="3"/>
  <c r="E65" i="3"/>
  <c r="K64" i="3"/>
  <c r="K65" i="3" s="1"/>
  <c r="F64" i="3"/>
  <c r="E64" i="3"/>
  <c r="Q63" i="3"/>
  <c r="F63" i="3"/>
  <c r="E63" i="3"/>
  <c r="Q62" i="3"/>
  <c r="F62" i="3"/>
  <c r="E62" i="3"/>
  <c r="M40" i="13"/>
  <c r="M38" i="13"/>
  <c r="M36" i="13"/>
  <c r="M34" i="13"/>
  <c r="M32" i="13"/>
  <c r="M30" i="13"/>
  <c r="M28" i="13"/>
  <c r="M26" i="13"/>
  <c r="M24" i="13"/>
  <c r="M22" i="13"/>
  <c r="M42" i="13" s="1"/>
  <c r="M19" i="13"/>
  <c r="M20" i="13"/>
  <c r="M18" i="13"/>
  <c r="L42" i="13"/>
  <c r="G44" i="12" l="1"/>
  <c r="Q65" i="3"/>
  <c r="Q64" i="3"/>
  <c r="N42" i="13"/>
  <c r="L55" i="1"/>
  <c r="D55" i="1"/>
  <c r="C55" i="1"/>
  <c r="L54" i="1"/>
  <c r="D54" i="1"/>
  <c r="C54" i="1"/>
  <c r="Q61" i="3"/>
  <c r="F61" i="3"/>
  <c r="E61" i="3"/>
  <c r="Q60" i="3"/>
  <c r="F60" i="3"/>
  <c r="E60" i="3"/>
  <c r="G1" i="12"/>
  <c r="L53" i="1" l="1"/>
  <c r="D53" i="1"/>
  <c r="C53" i="1"/>
  <c r="L52" i="1"/>
  <c r="D52" i="1"/>
  <c r="C52" i="1"/>
  <c r="L51" i="1"/>
  <c r="G51" i="1"/>
  <c r="D51" i="1"/>
  <c r="C51" i="1"/>
  <c r="Q59" i="3"/>
  <c r="F59" i="3"/>
  <c r="E59" i="3"/>
  <c r="Q58" i="3"/>
  <c r="F58" i="3"/>
  <c r="E58" i="3"/>
  <c r="Q57" i="3"/>
  <c r="F57" i="3"/>
  <c r="E57" i="3"/>
  <c r="H26" i="12"/>
  <c r="H28" i="12" s="1"/>
  <c r="F23" i="12"/>
  <c r="D50" i="1"/>
  <c r="C50" i="1"/>
  <c r="I50" i="1"/>
  <c r="D49" i="1"/>
  <c r="C49" i="1"/>
  <c r="K48" i="1"/>
  <c r="L48" i="1" s="1"/>
  <c r="D48" i="1"/>
  <c r="C48" i="1"/>
  <c r="O56" i="3"/>
  <c r="F56" i="3"/>
  <c r="E56" i="3"/>
  <c r="F55" i="3"/>
  <c r="E55" i="3"/>
  <c r="P54" i="3"/>
  <c r="Q54" i="3" s="1"/>
  <c r="F54" i="3"/>
  <c r="E54" i="3"/>
  <c r="L47" i="1"/>
  <c r="D47" i="1"/>
  <c r="C47" i="1"/>
  <c r="Q53" i="3"/>
  <c r="F53" i="3"/>
  <c r="E53" i="3"/>
  <c r="L36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C36" i="1"/>
  <c r="D36" i="1"/>
  <c r="I41" i="1"/>
  <c r="I45" i="1" s="1"/>
  <c r="I46" i="1" s="1"/>
  <c r="K51" i="3"/>
  <c r="K52" i="3" s="1"/>
  <c r="Q43" i="3"/>
  <c r="Q44" i="3"/>
  <c r="Q45" i="3"/>
  <c r="Q46" i="3"/>
  <c r="O47" i="3"/>
  <c r="Q42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L35" i="1"/>
  <c r="D35" i="1"/>
  <c r="C35" i="1"/>
  <c r="Q41" i="3"/>
  <c r="F41" i="3"/>
  <c r="E41" i="3"/>
  <c r="F42" i="13"/>
  <c r="D42" i="13"/>
  <c r="N40" i="13"/>
  <c r="B40" i="13"/>
  <c r="N38" i="13"/>
  <c r="I38" i="13"/>
  <c r="N36" i="13"/>
  <c r="I36" i="13"/>
  <c r="N34" i="13"/>
  <c r="I34" i="13"/>
  <c r="N32" i="13"/>
  <c r="I32" i="13"/>
  <c r="N30" i="13"/>
  <c r="I30" i="13"/>
  <c r="N28" i="13"/>
  <c r="I28" i="13"/>
  <c r="N26" i="13"/>
  <c r="I26" i="13"/>
  <c r="N24" i="13"/>
  <c r="I24" i="13"/>
  <c r="I22" i="13"/>
  <c r="F22" i="13"/>
  <c r="N22" i="13" s="1"/>
  <c r="N20" i="13"/>
  <c r="N19" i="13"/>
  <c r="N18" i="13"/>
  <c r="I18" i="13"/>
  <c r="F13" i="13"/>
  <c r="F44" i="13" s="1"/>
  <c r="D13" i="13"/>
  <c r="L58" i="1" l="1"/>
  <c r="I59" i="1"/>
  <c r="D44" i="13"/>
  <c r="G30" i="13" s="1"/>
  <c r="G26" i="12"/>
  <c r="O51" i="3"/>
  <c r="Q47" i="3"/>
  <c r="L37" i="1"/>
  <c r="G38" i="13"/>
  <c r="G28" i="13"/>
  <c r="L59" i="1" l="1"/>
  <c r="G26" i="13"/>
  <c r="G34" i="13"/>
  <c r="G24" i="13"/>
  <c r="G36" i="13"/>
  <c r="G32" i="13"/>
  <c r="G11" i="13"/>
  <c r="G13" i="13" s="1"/>
  <c r="G22" i="13"/>
  <c r="G20" i="13"/>
  <c r="G40" i="13"/>
  <c r="K50" i="1"/>
  <c r="L50" i="1" s="1"/>
  <c r="L49" i="1"/>
  <c r="L38" i="1"/>
  <c r="G42" i="13" l="1"/>
  <c r="G44" i="13" s="1"/>
  <c r="L39" i="1"/>
  <c r="H1" i="12"/>
  <c r="J28" i="12" l="1"/>
  <c r="K28" i="12" s="1"/>
  <c r="L28" i="12" s="1"/>
  <c r="J46" i="12"/>
  <c r="K46" i="12" s="1"/>
  <c r="L46" i="12" s="1"/>
  <c r="L40" i="1"/>
  <c r="I70" i="1"/>
  <c r="D70" i="1"/>
  <c r="C70" i="1"/>
  <c r="Q40" i="3"/>
  <c r="F40" i="3"/>
  <c r="E40" i="3"/>
  <c r="Q39" i="3"/>
  <c r="F39" i="3"/>
  <c r="E39" i="3"/>
  <c r="Q38" i="3"/>
  <c r="F38" i="3"/>
  <c r="E38" i="3"/>
  <c r="P75" i="3"/>
  <c r="Q75" i="3" s="1"/>
  <c r="O76" i="3"/>
  <c r="F76" i="3"/>
  <c r="E76" i="3"/>
  <c r="F75" i="3"/>
  <c r="E75" i="3"/>
  <c r="P74" i="3"/>
  <c r="Q74" i="3" s="1"/>
  <c r="F74" i="3"/>
  <c r="E74" i="3"/>
  <c r="B74" i="3"/>
  <c r="B75" i="3" s="1"/>
  <c r="B76" i="3" s="1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8" i="3"/>
  <c r="F8" i="3"/>
  <c r="L41" i="1" l="1"/>
  <c r="P76" i="3"/>
  <c r="Q76" i="3" s="1"/>
  <c r="R74" i="3"/>
  <c r="R75" i="3" s="1"/>
  <c r="L42" i="1" l="1"/>
  <c r="R76" i="3"/>
  <c r="L43" i="1" l="1"/>
  <c r="K69" i="1"/>
  <c r="K70" i="1" s="1"/>
  <c r="L70" i="1" s="1"/>
  <c r="D69" i="1"/>
  <c r="C69" i="1"/>
  <c r="K68" i="1"/>
  <c r="D68" i="1"/>
  <c r="C68" i="1"/>
  <c r="L15" i="7"/>
  <c r="M15" i="7" s="1"/>
  <c r="L14" i="7"/>
  <c r="M14" i="7" s="1"/>
  <c r="L34" i="1"/>
  <c r="D34" i="1"/>
  <c r="C34" i="1"/>
  <c r="L33" i="1"/>
  <c r="D33" i="1"/>
  <c r="C33" i="1"/>
  <c r="L32" i="1"/>
  <c r="G32" i="1"/>
  <c r="D32" i="1"/>
  <c r="C32" i="1"/>
  <c r="F14" i="12"/>
  <c r="H14" i="12" s="1"/>
  <c r="H17" i="12" s="1"/>
  <c r="G17" i="12" s="1"/>
  <c r="L31" i="1"/>
  <c r="D31" i="1"/>
  <c r="C31" i="1"/>
  <c r="L30" i="1"/>
  <c r="D30" i="1"/>
  <c r="C30" i="1"/>
  <c r="Q48" i="3"/>
  <c r="Q49" i="3"/>
  <c r="Q37" i="3"/>
  <c r="Q36" i="3"/>
  <c r="L29" i="1"/>
  <c r="D29" i="1"/>
  <c r="C29" i="1"/>
  <c r="Q35" i="3"/>
  <c r="G26" i="1"/>
  <c r="Q34" i="3"/>
  <c r="Q33" i="3"/>
  <c r="Q32" i="3"/>
  <c r="L28" i="1"/>
  <c r="D28" i="1"/>
  <c r="C28" i="1"/>
  <c r="L27" i="1"/>
  <c r="D27" i="1"/>
  <c r="C27" i="1"/>
  <c r="L26" i="1"/>
  <c r="D26" i="1"/>
  <c r="C26" i="1"/>
  <c r="L44" i="1" l="1"/>
  <c r="L69" i="1"/>
  <c r="L68" i="1"/>
  <c r="M68" i="1" s="1"/>
  <c r="H19" i="12"/>
  <c r="J19" i="12" s="1"/>
  <c r="K19" i="12" s="1"/>
  <c r="L19" i="12" s="1"/>
  <c r="Q50" i="3"/>
  <c r="G20" i="1"/>
  <c r="H10" i="12"/>
  <c r="F5" i="12"/>
  <c r="G8" i="12" s="1"/>
  <c r="L25" i="1"/>
  <c r="D25" i="1"/>
  <c r="C25" i="1"/>
  <c r="L24" i="1"/>
  <c r="D24" i="1"/>
  <c r="C24" i="1"/>
  <c r="L23" i="1"/>
  <c r="D23" i="1"/>
  <c r="C23" i="1"/>
  <c r="J10" i="12" l="1"/>
  <c r="K10" i="12" s="1"/>
  <c r="L45" i="1"/>
  <c r="L46" i="1"/>
  <c r="O52" i="3"/>
  <c r="Q51" i="3"/>
  <c r="M69" i="1"/>
  <c r="M70" i="1" s="1"/>
  <c r="H5" i="12"/>
  <c r="H6" i="12" s="1"/>
  <c r="Q31" i="3"/>
  <c r="Q30" i="3"/>
  <c r="Q29" i="3"/>
  <c r="F32" i="12"/>
  <c r="G32" i="12" s="1"/>
  <c r="L21" i="1"/>
  <c r="D21" i="1"/>
  <c r="C21" i="1"/>
  <c r="L22" i="1"/>
  <c r="D22" i="1"/>
  <c r="C22" i="1"/>
  <c r="L20" i="1"/>
  <c r="D20" i="1"/>
  <c r="C20" i="1"/>
  <c r="Q27" i="3"/>
  <c r="Q28" i="3"/>
  <c r="Q26" i="3"/>
  <c r="L19" i="1"/>
  <c r="D19" i="1"/>
  <c r="C19" i="1"/>
  <c r="Q25" i="3"/>
  <c r="L16" i="1"/>
  <c r="L17" i="1"/>
  <c r="L18" i="1"/>
  <c r="L3" i="1"/>
  <c r="L2" i="1"/>
  <c r="Q24" i="3"/>
  <c r="L3" i="7"/>
  <c r="J13" i="7"/>
  <c r="L12" i="7"/>
  <c r="M12" i="7" s="1"/>
  <c r="L11" i="7"/>
  <c r="M11" i="7" s="1"/>
  <c r="L10" i="7"/>
  <c r="M10" i="7" s="1"/>
  <c r="L9" i="7"/>
  <c r="M9" i="7" s="1"/>
  <c r="L8" i="7"/>
  <c r="M8" i="7" s="1"/>
  <c r="L7" i="7"/>
  <c r="M7" i="7" s="1"/>
  <c r="L6" i="7"/>
  <c r="M6" i="7" s="1"/>
  <c r="L5" i="7"/>
  <c r="M5" i="7" s="1"/>
  <c r="L4" i="7"/>
  <c r="M4" i="7" s="1"/>
  <c r="D18" i="1"/>
  <c r="C18" i="1"/>
  <c r="D17" i="1"/>
  <c r="C17" i="1"/>
  <c r="D16" i="1"/>
  <c r="C16" i="1"/>
  <c r="D3" i="1"/>
  <c r="C3" i="1"/>
  <c r="Q9" i="3"/>
  <c r="I14" i="1"/>
  <c r="I15" i="1" s="1"/>
  <c r="D15" i="1"/>
  <c r="C15" i="1"/>
  <c r="D14" i="1"/>
  <c r="C14" i="1"/>
  <c r="O21" i="3"/>
  <c r="D2" i="1"/>
  <c r="C2" i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K12" i="1"/>
  <c r="L12" i="1" s="1"/>
  <c r="K9" i="1"/>
  <c r="L9" i="1" s="1"/>
  <c r="K8" i="1"/>
  <c r="L8" i="1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K13" i="1"/>
  <c r="L13" i="1" s="1"/>
  <c r="D13" i="1"/>
  <c r="C13" i="1"/>
  <c r="P19" i="3"/>
  <c r="Q19" i="3" s="1"/>
  <c r="K10" i="1"/>
  <c r="L10" i="1" s="1"/>
  <c r="D10" i="1"/>
  <c r="C10" i="1"/>
  <c r="D9" i="1"/>
  <c r="C9" i="1"/>
  <c r="D8" i="1"/>
  <c r="C8" i="1"/>
  <c r="K7" i="1"/>
  <c r="L7" i="1" s="1"/>
  <c r="D7" i="1"/>
  <c r="C7" i="1"/>
  <c r="K6" i="1"/>
  <c r="L6" i="1" s="1"/>
  <c r="D6" i="1"/>
  <c r="C6" i="1"/>
  <c r="K5" i="1"/>
  <c r="L5" i="1" s="1"/>
  <c r="K4" i="1"/>
  <c r="L4" i="1" s="1"/>
  <c r="D5" i="1"/>
  <c r="C5" i="1"/>
  <c r="D4" i="1"/>
  <c r="C4" i="1"/>
  <c r="D12" i="1"/>
  <c r="C12" i="1"/>
  <c r="K11" i="1"/>
  <c r="L11" i="1" s="1"/>
  <c r="D11" i="1"/>
  <c r="C11" i="1"/>
  <c r="L13" i="7" l="1"/>
  <c r="B41" i="3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L10" i="12"/>
  <c r="M2" i="1"/>
  <c r="M3" i="1" s="1"/>
  <c r="H35" i="12"/>
  <c r="H37" i="12" s="1"/>
  <c r="G48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3" i="7"/>
  <c r="K14" i="1"/>
  <c r="K15" i="1" s="1"/>
  <c r="L15" i="1" s="1"/>
  <c r="Q17" i="3"/>
  <c r="P18" i="3"/>
  <c r="Q18" i="3" s="1"/>
  <c r="P16" i="3"/>
  <c r="Q16" i="3" s="1"/>
  <c r="Q14" i="3"/>
  <c r="Q15" i="3"/>
  <c r="P13" i="3"/>
  <c r="Q13" i="3" s="1"/>
  <c r="P10" i="3"/>
  <c r="P12" i="3"/>
  <c r="Q12" i="3" s="1"/>
  <c r="O72" i="3"/>
  <c r="Q23" i="3"/>
  <c r="Q8" i="3"/>
  <c r="Q11" i="3"/>
  <c r="Q22" i="3"/>
  <c r="Q7" i="3"/>
  <c r="B53" i="3" l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Q52" i="3"/>
  <c r="P56" i="3"/>
  <c r="M13" i="7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G35" i="12"/>
  <c r="L14" i="1"/>
  <c r="Q10" i="3"/>
  <c r="Q20" i="3" s="1"/>
  <c r="Q21" i="3" s="1"/>
  <c r="P20" i="3"/>
  <c r="P21" i="3" s="1"/>
  <c r="B66" i="3" l="1"/>
  <c r="B67" i="3" s="1"/>
  <c r="B68" i="3" s="1"/>
  <c r="Q56" i="3"/>
  <c r="Q72" i="3" s="1"/>
  <c r="J37" i="12"/>
  <c r="J48" i="12" s="1"/>
  <c r="M14" i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L65" i="1"/>
  <c r="P72" i="3"/>
  <c r="R71" i="3"/>
  <c r="K37" i="12" l="1"/>
  <c r="K48" i="12" s="1"/>
  <c r="L48" i="12" s="1"/>
  <c r="R7" i="3"/>
  <c r="L37" i="12" l="1"/>
  <c r="R8" i="3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l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l="1"/>
  <c r="R72" i="3"/>
</calcChain>
</file>

<file path=xl/sharedStrings.xml><?xml version="1.0" encoding="utf-8"?>
<sst xmlns="http://schemas.openxmlformats.org/spreadsheetml/2006/main" count="1269" uniqueCount="219">
  <si>
    <t>data</t>
  </si>
  <si>
    <t xml:space="preserve">valuta </t>
  </si>
  <si>
    <t>Mese</t>
  </si>
  <si>
    <t>anno</t>
  </si>
  <si>
    <t>Importo</t>
  </si>
  <si>
    <t>descrizione</t>
  </si>
  <si>
    <t>TIPOLOGIA</t>
  </si>
  <si>
    <t>B/P</t>
  </si>
  <si>
    <t>A/P C/R</t>
  </si>
  <si>
    <t>BANK</t>
  </si>
  <si>
    <t>Progressivo</t>
  </si>
  <si>
    <t>BIL</t>
  </si>
  <si>
    <t>Edoardo Tubia</t>
  </si>
  <si>
    <t>Ordinante</t>
  </si>
  <si>
    <t>Origine</t>
  </si>
  <si>
    <t>Sum of Importo</t>
  </si>
  <si>
    <t>PP</t>
  </si>
  <si>
    <t>COSTS</t>
  </si>
  <si>
    <t>Iban:</t>
  </si>
  <si>
    <t>Luxembourg</t>
  </si>
  <si>
    <t>Bic:</t>
  </si>
  <si>
    <t>C/C Ordinario in EUR</t>
  </si>
  <si>
    <t>CASH</t>
  </si>
  <si>
    <t>Nr</t>
  </si>
  <si>
    <t>Description</t>
  </si>
  <si>
    <t>Date Comptable</t>
  </si>
  <si>
    <t>Date Valeur</t>
  </si>
  <si>
    <t>Total</t>
  </si>
  <si>
    <t>Solde</t>
  </si>
  <si>
    <t>Saldo iniziale</t>
  </si>
  <si>
    <t>Tubia Edoardo</t>
  </si>
  <si>
    <t>Tubia Silvia</t>
  </si>
  <si>
    <t>Beneficiario</t>
  </si>
  <si>
    <t>Notaire Martine Schaeffer</t>
  </si>
  <si>
    <t>Imp</t>
  </si>
  <si>
    <t>TVA</t>
  </si>
  <si>
    <t>% TVA</t>
  </si>
  <si>
    <t>X</t>
  </si>
  <si>
    <t>TVA V</t>
  </si>
  <si>
    <t>Change</t>
  </si>
  <si>
    <t>INTR</t>
  </si>
  <si>
    <t>LUX</t>
  </si>
  <si>
    <t>6135000 - FRAIS D'ACTES NOTARIES ET ASSIMILES</t>
  </si>
  <si>
    <t>CAPITAUX PROPRES ET PASSIF</t>
  </si>
  <si>
    <t>A. CAPITAUX PROPRES</t>
  </si>
  <si>
    <t>CLASSE</t>
  </si>
  <si>
    <t>I. CAPITAL SOUSCRIT</t>
  </si>
  <si>
    <t>1010000 - Capital Souscrit</t>
  </si>
  <si>
    <t>Type</t>
  </si>
  <si>
    <t>Frais d'extrait RCS</t>
  </si>
  <si>
    <t>R.C.S. Luxembourg</t>
  </si>
  <si>
    <t>Green Enerbras One SCSp</t>
  </si>
  <si>
    <t>BRL</t>
  </si>
  <si>
    <t>Partner</t>
  </si>
  <si>
    <t>Frais d'Extrait RCS</t>
  </si>
  <si>
    <t>RCS Luxembourg</t>
  </si>
  <si>
    <t>Capital Contribution</t>
  </si>
  <si>
    <t>Frais Administratives</t>
  </si>
  <si>
    <t>Paiement Capital Contribution</t>
  </si>
  <si>
    <t>Montant</t>
  </si>
  <si>
    <t>RCS: B295061</t>
  </si>
  <si>
    <t>Frais d'Extrait RCS - Papier Sécurisé</t>
  </si>
  <si>
    <t>Immatriculation - Frais administratifs</t>
  </si>
  <si>
    <t>Légalisation et apostille sur documentation</t>
  </si>
  <si>
    <t>Inscription au RBE des Bénéficiaires effectifs</t>
  </si>
  <si>
    <t>CAT</t>
  </si>
  <si>
    <t>Légalisation documentation</t>
  </si>
  <si>
    <t>Immatriculationn - Frais administratifs</t>
  </si>
  <si>
    <t>R.B.E. Luxembourg</t>
  </si>
  <si>
    <t>Ministère des Affaires Etrangères et Européennes</t>
  </si>
  <si>
    <t>Fattura</t>
  </si>
  <si>
    <t>002-2025</t>
  </si>
  <si>
    <t>003-2025</t>
  </si>
  <si>
    <t>004-2025</t>
  </si>
  <si>
    <t>005-2025</t>
  </si>
  <si>
    <t>001-2025</t>
  </si>
  <si>
    <t>006-2025 - Invoice 2501657</t>
  </si>
  <si>
    <t>007-2025 - Invoice 2501874</t>
  </si>
  <si>
    <t>008-2025</t>
  </si>
  <si>
    <t>LU47 0080 4433 4290 2001</t>
  </si>
  <si>
    <t>BLUX LULL</t>
  </si>
  <si>
    <t>BANQUE DE LUXEMBOURG</t>
  </si>
  <si>
    <t>BDL</t>
  </si>
  <si>
    <t>Remboursement des frais</t>
  </si>
  <si>
    <t>Remboursement des Frais</t>
  </si>
  <si>
    <t>Fiscal:</t>
  </si>
  <si>
    <t>2025 5805 747</t>
  </si>
  <si>
    <t>PAYE</t>
  </si>
  <si>
    <t>OUI</t>
  </si>
  <si>
    <t>Remboursement des Frais avancés par Edoardo Tubia</t>
  </si>
  <si>
    <t>Totale</t>
  </si>
  <si>
    <t xml:space="preserve">PAYE </t>
  </si>
  <si>
    <t>PAYE-NON</t>
  </si>
  <si>
    <t>Frais bancaires</t>
  </si>
  <si>
    <t>Frais de tenue de compte</t>
  </si>
  <si>
    <t>Banque de Luxembourg</t>
  </si>
  <si>
    <t>61333 - FRAIS DE COMPTE BANQUE</t>
  </si>
  <si>
    <t>Achat de participation</t>
  </si>
  <si>
    <t>Tri Star Enerbras One SCP</t>
  </si>
  <si>
    <t>Frais sur transfert</t>
  </si>
  <si>
    <t>TRI STAR ENERBRAS ONE SCP</t>
  </si>
  <si>
    <t>23 - IMMOBILISATIONS FINANCIERES</t>
  </si>
  <si>
    <t>233 - PARTICIPATIONS</t>
  </si>
  <si>
    <t>IMMOBILISATIONS</t>
  </si>
  <si>
    <t xml:space="preserve">Acquisition de participation </t>
  </si>
  <si>
    <t>Immobilisations</t>
  </si>
  <si>
    <t>Cambio effettivo</t>
  </si>
  <si>
    <t>Spese banca</t>
  </si>
  <si>
    <t>TRI STAR ENERGY LTDA</t>
  </si>
  <si>
    <t>Banco: 348 - BANCO XP S.A.</t>
  </si>
  <si>
    <t>Agenci 1</t>
  </si>
  <si>
    <t>Conta: 18638574</t>
  </si>
  <si>
    <t xml:space="preserve"> </t>
  </si>
  <si>
    <t>Transfer su:</t>
  </si>
  <si>
    <t>della TRI STAR ENERBRAS ONE SCP che, in quanto SCP, non ha personalità giuridica</t>
  </si>
  <si>
    <t>e quindi non puo' neanche avere un conto bancario.</t>
  </si>
  <si>
    <t xml:space="preserve">I fondi sono trasferiti sul conto della TRI STAR ENERGY LTDA che é il General Partner </t>
  </si>
  <si>
    <t>Fondi trasferiti</t>
  </si>
  <si>
    <t>TRASFERIMENTI</t>
  </si>
  <si>
    <t>Bertozzi Stefano</t>
  </si>
  <si>
    <t>De Miguel Bellvis Maria</t>
  </si>
  <si>
    <t>Desiderio Salvatore</t>
  </si>
  <si>
    <t>Entry fee (2,00%)</t>
  </si>
  <si>
    <t>NEW LIFE Sàrl</t>
  </si>
  <si>
    <t>NON</t>
  </si>
  <si>
    <t>Le entry fees saranno pagate al G.P. New Life Sàrl solo alla prima distribuzione dei risultati della SCSp</t>
  </si>
  <si>
    <t>6,192 - 0,04 = 6,152 - 0,38% IOF = 6,128 (NET)</t>
  </si>
  <si>
    <t>Tubia Enrico</t>
  </si>
  <si>
    <t>Zaniboni Elisa</t>
  </si>
  <si>
    <t>Zaniboni Greta</t>
  </si>
  <si>
    <t>6,427 - 0,04 = 6,387 - 0,38% IOF = 6,36 (NET)</t>
  </si>
  <si>
    <t>TOT R$ Accreditati</t>
  </si>
  <si>
    <t>TOT Eur Trasferiti</t>
  </si>
  <si>
    <t>Etichette di colonna</t>
  </si>
  <si>
    <t>Etichette di riga</t>
  </si>
  <si>
    <t>Totale complessivo</t>
  </si>
  <si>
    <t>(più elementi)</t>
  </si>
  <si>
    <t>(Tutto)</t>
  </si>
  <si>
    <t>009-2025</t>
  </si>
  <si>
    <t>Mois</t>
  </si>
  <si>
    <t>Année</t>
  </si>
  <si>
    <t>001/2025</t>
  </si>
  <si>
    <t>005/2025</t>
  </si>
  <si>
    <t>002/2025</t>
  </si>
  <si>
    <t>006/2025</t>
  </si>
  <si>
    <t>007/2025</t>
  </si>
  <si>
    <t>003/2025</t>
  </si>
  <si>
    <t>004/2025</t>
  </si>
  <si>
    <t>008/2025</t>
  </si>
  <si>
    <t>Cambio EUR/R$</t>
  </si>
  <si>
    <t>Attualizzazione</t>
  </si>
  <si>
    <t>Plus/Minus</t>
  </si>
  <si>
    <t>%</t>
  </si>
  <si>
    <t>PARTNER'S REGISTER</t>
  </si>
  <si>
    <t>"ANNEX A"</t>
  </si>
  <si>
    <t>GENERAL PARTNER'S REMUNERATION</t>
  </si>
  <si>
    <t>GREEN ENERBRAS ONE SCSp - Luxembourg</t>
  </si>
  <si>
    <t xml:space="preserve">RCS: </t>
  </si>
  <si>
    <t xml:space="preserve"> B 295061</t>
  </si>
  <si>
    <t>Participation Fee</t>
  </si>
  <si>
    <t>Tax Id. number:</t>
  </si>
  <si>
    <t>PARTNERS</t>
  </si>
  <si>
    <t>PARTNER'S CONTRIBUTION</t>
  </si>
  <si>
    <t>Payment's date</t>
  </si>
  <si>
    <t>PAID CONTRIBUTION</t>
  </si>
  <si>
    <t>Detention %</t>
  </si>
  <si>
    <t>COMMANDITE - General Partner</t>
  </si>
  <si>
    <t>NEW LIFE SARL - Luxembourg</t>
  </si>
  <si>
    <t>TOTAL "Commandités"</t>
  </si>
  <si>
    <t>COMMANDITAIRES - Limited Partners</t>
  </si>
  <si>
    <t>Edoardo TUBIA</t>
  </si>
  <si>
    <t>Silvia TUBIA</t>
  </si>
  <si>
    <t>Stefano BERTOZZI</t>
  </si>
  <si>
    <t>Maria DE MIGUEL BELLVIS</t>
  </si>
  <si>
    <t>Salvatore DESIDERIO</t>
  </si>
  <si>
    <t>Enrico TUBIA</t>
  </si>
  <si>
    <t>Greta ZANIBONI</t>
  </si>
  <si>
    <t>Elisa ZANIBONI</t>
  </si>
  <si>
    <t>TOTAL "Commanditaires"</t>
  </si>
  <si>
    <t>TOTAL</t>
  </si>
  <si>
    <t>Competenza</t>
  </si>
  <si>
    <t>Invece di distribuire dividendo o rimborsare parte della Limited Partner's Contribution verrà compensata.</t>
  </si>
  <si>
    <t>In questo modo non si intacca le disponibilità della SCSp sino ai primi risultati positivi.</t>
  </si>
  <si>
    <t>Limited Partner</t>
  </si>
  <si>
    <t>Amount</t>
  </si>
  <si>
    <t>Invoice</t>
  </si>
  <si>
    <t>Participation Fee 2%</t>
  </si>
  <si>
    <t>(vuoto)</t>
  </si>
  <si>
    <t>009/2026</t>
  </si>
  <si>
    <t>REF</t>
  </si>
  <si>
    <t>OP. NR 01</t>
  </si>
  <si>
    <t>OP. NR 02</t>
  </si>
  <si>
    <t>OP. NR 03</t>
  </si>
  <si>
    <t>OP. NR 04</t>
  </si>
  <si>
    <t>New Life Sarl - G.P.</t>
  </si>
  <si>
    <t>Total frais avances</t>
  </si>
  <si>
    <t>Inscription au RBE des Beneficiaires effectifs</t>
  </si>
  <si>
    <t>Entry fee sur L.P. Contribution verse</t>
  </si>
  <si>
    <t>Total Entry fees sur L.P. Contributions verses</t>
  </si>
  <si>
    <t>Paiement de GEO SCSp au G.P. New Life Sarl des Entry Fees</t>
  </si>
  <si>
    <t>Frais d'Extrait RCS - Papier Securise</t>
  </si>
  <si>
    <t>Legalisation et apostille sur documentation</t>
  </si>
  <si>
    <t>Legalisation documentation</t>
  </si>
  <si>
    <t>NEW LIFE Sarl</t>
  </si>
  <si>
    <t>Frais d'extrait RCS - Papier Securise</t>
  </si>
  <si>
    <t>Apostille sur documentation Ministere des Affaires Etrangeres et Europeennes</t>
  </si>
  <si>
    <t>Ministere des Affaires Etrangeres et Europeennes</t>
  </si>
  <si>
    <t>Sterzi Marco</t>
  </si>
  <si>
    <t>Miletti Giovanni</t>
  </si>
  <si>
    <t>Marco STERZI</t>
  </si>
  <si>
    <t>Giovanni MILETTI</t>
  </si>
  <si>
    <t>013/2026</t>
  </si>
  <si>
    <t>014/2026</t>
  </si>
  <si>
    <t>Net</t>
  </si>
  <si>
    <t>New Life Sàrl 013/2026</t>
  </si>
  <si>
    <t>New Life Sàrl 014/2026</t>
  </si>
  <si>
    <t>OP. NR 05</t>
  </si>
  <si>
    <t>Cambio medio</t>
  </si>
  <si>
    <t>New Life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</si>
</sst>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;\-#,##0.00;&quot;&quot;"/>
    <numFmt numFmtId="166" formatCode="#,##0.00;\-#,##0.00;\-"/>
    <numFmt numFmtId="167" formatCode="_-* #,##0.00_-;_-* #,##0.00\-;_-* &quot;-&quot;??_-;_-@_-"/>
    <numFmt numFmtId="168" formatCode="_(&quot;R$ &quot;* #,##0.00_);_(&quot;R$ &quot;* \(#,##0.00\);_(&quot;R$ &quot;* &quot;-&quot;??_);_(@_)"/>
    <numFmt numFmtId="169" formatCode="_-&quot;€&quot;\ * #,##0.00_-;\-&quot;€&quot;\ * #,##0.00_-;_-&quot;€&quot;\ * &quot;-&quot;??_-;_-@_-"/>
    <numFmt numFmtId="170" formatCode="&quot;€&quot;\ #,##0.00;[Red]\-&quot;€&quot;\ #,##0.00"/>
    <numFmt numFmtId="171" formatCode="[$$-409]#,##0.00_ ;[Red]\-[$$-409]#,##0.00\ "/>
    <numFmt numFmtId="172" formatCode="0.0000"/>
    <numFmt numFmtId="173" formatCode="[$R$ -416]#,##0.00_ ;[Red]\-[$R$ -416]#,##0.00\ "/>
    <numFmt numFmtId="174" formatCode="[$R$-416]\ #,##0.00;[Red]\-[$R$-416]\ #,##0.00"/>
    <numFmt numFmtId="175" formatCode="0.000000000000"/>
    <numFmt numFmtId="176" formatCode="0.000000"/>
    <numFmt numFmtId="177" formatCode="#,##0.00\ &quot;€&quot;"/>
    <numFmt numFmtId="178" formatCode="0.0000%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Gatineau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165" fontId="7" fillId="18" borderId="3" applyFont="0" applyFill="0" applyBorder="0" applyAlignment="0" applyProtection="0">
      <alignment wrapText="1"/>
    </xf>
    <xf numFmtId="166" fontId="7" fillId="18" borderId="3" applyFont="0" applyFill="0" applyBorder="0" applyAlignment="0" applyProtection="0">
      <alignment wrapText="1"/>
    </xf>
    <xf numFmtId="0" fontId="8" fillId="0" borderId="4" applyNumberFormat="0" applyFill="0" applyAlignment="0" applyProtection="0"/>
    <xf numFmtId="0" fontId="9" fillId="19" borderId="5" applyNumberFormat="0" applyAlignment="0" applyProtection="0"/>
    <xf numFmtId="0" fontId="9" fillId="19" borderId="5" applyNumberFormat="0" applyAlignment="0" applyProtection="0"/>
    <xf numFmtId="0" fontId="9" fillId="19" borderId="5" applyNumberFormat="0" applyAlignment="0" applyProtection="0"/>
    <xf numFmtId="0" fontId="8" fillId="0" borderId="4" applyNumberFormat="0" applyFill="0" applyAlignment="0" applyProtection="0"/>
    <xf numFmtId="0" fontId="8" fillId="0" borderId="4" applyNumberFormat="0" applyFill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3" borderId="0" applyNumberFormat="0" applyBorder="0" applyAlignment="0" applyProtection="0"/>
    <xf numFmtId="167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11" fillId="8" borderId="2" applyNumberFormat="0" applyAlignment="0" applyProtection="0"/>
    <xf numFmtId="0" fontId="11" fillId="8" borderId="2" applyNumberFormat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0" fillId="25" borderId="6" applyNumberFormat="0" applyFont="0" applyAlignment="0" applyProtection="0"/>
    <xf numFmtId="0" fontId="10" fillId="25" borderId="6" applyNumberFormat="0" applyFont="0" applyAlignment="0" applyProtection="0"/>
    <xf numFmtId="0" fontId="10" fillId="25" borderId="6" applyNumberFormat="0" applyFont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17" borderId="7" applyNumberFormat="0" applyAlignment="0" applyProtection="0"/>
    <xf numFmtId="0" fontId="15" fillId="1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2" fillId="4" borderId="0" applyNumberFormat="0" applyBorder="0" applyAlignment="0" applyProtection="0"/>
    <xf numFmtId="0" fontId="5" fillId="5" borderId="0" applyNumberFormat="0" applyBorder="0" applyAlignment="0" applyProtection="0"/>
  </cellStyleXfs>
  <cellXfs count="194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8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0" borderId="0" xfId="102" applyAlignment="1">
      <alignment horizontal="center"/>
    </xf>
    <xf numFmtId="0" fontId="10" fillId="0" borderId="0" xfId="102"/>
    <xf numFmtId="8" fontId="10" fillId="0" borderId="0" xfId="102" applyNumberFormat="1"/>
    <xf numFmtId="8" fontId="24" fillId="0" borderId="0" xfId="102" applyNumberFormat="1" applyFont="1"/>
    <xf numFmtId="0" fontId="24" fillId="0" borderId="0" xfId="102" applyFont="1"/>
    <xf numFmtId="0" fontId="0" fillId="0" borderId="18" xfId="0" applyBorder="1"/>
    <xf numFmtId="10" fontId="2" fillId="2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10" fillId="0" borderId="0" xfId="102" applyAlignment="1">
      <alignment horizontal="center" vertical="center"/>
    </xf>
    <xf numFmtId="0" fontId="10" fillId="0" borderId="0" xfId="102" applyAlignment="1">
      <alignment vertical="center"/>
    </xf>
    <xf numFmtId="0" fontId="24" fillId="0" borderId="0" xfId="102" applyFont="1" applyAlignment="1">
      <alignment horizontal="center" vertical="center"/>
    </xf>
    <xf numFmtId="8" fontId="10" fillId="0" borderId="0" xfId="102" applyNumberFormat="1" applyAlignment="1">
      <alignment vertical="center"/>
    </xf>
    <xf numFmtId="8" fontId="24" fillId="0" borderId="0" xfId="102" applyNumberFormat="1" applyFont="1" applyAlignment="1">
      <alignment vertical="center"/>
    </xf>
    <xf numFmtId="0" fontId="24" fillId="0" borderId="0" xfId="102" applyFont="1" applyAlignment="1">
      <alignment vertical="center"/>
    </xf>
    <xf numFmtId="0" fontId="25" fillId="0" borderId="0" xfId="102" applyFont="1" applyAlignment="1">
      <alignment horizontal="center" vertical="center"/>
    </xf>
    <xf numFmtId="0" fontId="10" fillId="0" borderId="15" xfId="102" applyBorder="1" applyAlignment="1">
      <alignment horizontal="center" vertical="center"/>
    </xf>
    <xf numFmtId="14" fontId="10" fillId="0" borderId="0" xfId="102" applyNumberFormat="1" applyAlignment="1">
      <alignment horizontal="center" vertical="center"/>
    </xf>
    <xf numFmtId="8" fontId="24" fillId="26" borderId="16" xfId="102" applyNumberFormat="1" applyFont="1" applyFill="1" applyBorder="1" applyAlignment="1">
      <alignment vertical="center"/>
    </xf>
    <xf numFmtId="0" fontId="24" fillId="0" borderId="0" xfId="102" applyFont="1" applyAlignment="1">
      <alignment horizontal="left" vertical="center"/>
    </xf>
    <xf numFmtId="8" fontId="24" fillId="26" borderId="17" xfId="0" applyNumberFormat="1" applyFont="1" applyFill="1" applyBorder="1" applyAlignment="1">
      <alignment vertical="center"/>
    </xf>
    <xf numFmtId="8" fontId="0" fillId="0" borderId="0" xfId="0" applyNumberFormat="1" applyAlignment="1">
      <alignment vertical="center"/>
    </xf>
    <xf numFmtId="0" fontId="24" fillId="26" borderId="12" xfId="102" applyFont="1" applyFill="1" applyBorder="1" applyAlignment="1">
      <alignment horizontal="center" vertical="center"/>
    </xf>
    <xf numFmtId="0" fontId="24" fillId="26" borderId="14" xfId="102" applyFont="1" applyFill="1" applyBorder="1" applyAlignment="1">
      <alignment vertical="center"/>
    </xf>
    <xf numFmtId="0" fontId="24" fillId="26" borderId="14" xfId="102" applyFont="1" applyFill="1" applyBorder="1" applyAlignment="1">
      <alignment horizontal="center" vertical="center"/>
    </xf>
    <xf numFmtId="8" fontId="24" fillId="26" borderId="14" xfId="102" applyNumberFormat="1" applyFont="1" applyFill="1" applyBorder="1" applyAlignment="1">
      <alignment vertical="center"/>
    </xf>
    <xf numFmtId="170" fontId="24" fillId="26" borderId="1" xfId="102" applyNumberFormat="1" applyFont="1" applyFill="1" applyBorder="1" applyAlignment="1">
      <alignment vertical="center"/>
    </xf>
    <xf numFmtId="0" fontId="0" fillId="0" borderId="0" xfId="0" pivotButton="1" applyAlignment="1">
      <alignment horizontal="center"/>
    </xf>
    <xf numFmtId="0" fontId="0" fillId="2" borderId="0" xfId="0" applyFill="1"/>
    <xf numFmtId="171" fontId="2" fillId="2" borderId="1" xfId="0" applyNumberFormat="1" applyFont="1" applyFill="1" applyBorder="1" applyAlignment="1">
      <alignment horizontal="center"/>
    </xf>
    <xf numFmtId="8" fontId="24" fillId="2" borderId="19" xfId="0" applyNumberFormat="1" applyFont="1" applyFill="1" applyBorder="1" applyAlignment="1">
      <alignment horizontal="right"/>
    </xf>
    <xf numFmtId="173" fontId="0" fillId="0" borderId="0" xfId="0" applyNumberFormat="1"/>
    <xf numFmtId="0" fontId="10" fillId="0" borderId="0" xfId="102" applyAlignment="1">
      <alignment horizontal="left" vertical="center"/>
    </xf>
    <xf numFmtId="0" fontId="10" fillId="26" borderId="14" xfId="102" applyFill="1" applyBorder="1" applyAlignment="1">
      <alignment horizontal="center" vertical="center"/>
    </xf>
    <xf numFmtId="10" fontId="10" fillId="0" borderId="1" xfId="102" applyNumberFormat="1" applyBorder="1" applyAlignment="1">
      <alignment horizontal="center" vertical="center"/>
    </xf>
    <xf numFmtId="0" fontId="24" fillId="0" borderId="0" xfId="102" applyFont="1" applyAlignment="1">
      <alignment horizontal="center" vertical="center" wrapText="1"/>
    </xf>
    <xf numFmtId="0" fontId="24" fillId="0" borderId="12" xfId="102" applyFont="1" applyBorder="1" applyAlignment="1">
      <alignment horizontal="center" vertical="center" wrapText="1"/>
    </xf>
    <xf numFmtId="0" fontId="24" fillId="0" borderId="14" xfId="102" applyFont="1" applyBorder="1" applyAlignment="1">
      <alignment horizontal="center" vertical="center" wrapText="1"/>
    </xf>
    <xf numFmtId="0" fontId="10" fillId="0" borderId="14" xfId="102" applyBorder="1" applyAlignment="1">
      <alignment horizontal="center" vertical="center" wrapText="1"/>
    </xf>
    <xf numFmtId="8" fontId="24" fillId="0" borderId="14" xfId="102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23" fillId="0" borderId="0" xfId="102" applyFont="1" applyAlignment="1">
      <alignment horizontal="left" vertical="center"/>
    </xf>
    <xf numFmtId="49" fontId="10" fillId="0" borderId="0" xfId="102" applyNumberFormat="1" applyAlignment="1">
      <alignment horizontal="center" vertical="center"/>
    </xf>
    <xf numFmtId="49" fontId="25" fillId="0" borderId="0" xfId="102" applyNumberFormat="1" applyFont="1" applyAlignment="1">
      <alignment horizontal="center" vertical="center"/>
    </xf>
    <xf numFmtId="49" fontId="24" fillId="26" borderId="14" xfId="102" applyNumberFormat="1" applyFont="1" applyFill="1" applyBorder="1" applyAlignment="1">
      <alignment horizontal="center" vertical="center"/>
    </xf>
    <xf numFmtId="49" fontId="10" fillId="0" borderId="0" xfId="102" applyNumberFormat="1" applyAlignment="1">
      <alignment horizontal="center"/>
    </xf>
    <xf numFmtId="0" fontId="24" fillId="0" borderId="13" xfId="102" applyFont="1" applyBorder="1" applyAlignment="1">
      <alignment horizontal="center" vertical="center" wrapText="1"/>
    </xf>
    <xf numFmtId="0" fontId="23" fillId="0" borderId="0" xfId="102" applyFont="1" applyAlignment="1">
      <alignment horizontal="center" vertical="center"/>
    </xf>
    <xf numFmtId="0" fontId="23" fillId="0" borderId="0" xfId="102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8" fontId="10" fillId="0" borderId="18" xfId="102" applyNumberFormat="1" applyBorder="1" applyAlignment="1">
      <alignment vertical="center"/>
    </xf>
    <xf numFmtId="0" fontId="10" fillId="0" borderId="18" xfId="102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4" fillId="0" borderId="21" xfId="102" applyFont="1" applyBorder="1"/>
    <xf numFmtId="0" fontId="10" fillId="0" borderId="21" xfId="102" applyBorder="1" applyAlignment="1">
      <alignment horizontal="center"/>
    </xf>
    <xf numFmtId="0" fontId="0" fillId="0" borderId="15" xfId="0" applyBorder="1"/>
    <xf numFmtId="0" fontId="10" fillId="0" borderId="0" xfId="102" applyAlignment="1">
      <alignment horizontal="left"/>
    </xf>
    <xf numFmtId="0" fontId="0" fillId="0" borderId="24" xfId="0" applyBorder="1"/>
    <xf numFmtId="0" fontId="0" fillId="0" borderId="25" xfId="0" applyBorder="1"/>
    <xf numFmtId="0" fontId="26" fillId="2" borderId="1" xfId="0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left" indent="3"/>
    </xf>
    <xf numFmtId="174" fontId="24" fillId="2" borderId="1" xfId="102" applyNumberFormat="1" applyFont="1" applyFill="1" applyBorder="1"/>
    <xf numFmtId="8" fontId="24" fillId="2" borderId="1" xfId="102" applyNumberFormat="1" applyFont="1" applyFill="1" applyBorder="1" applyAlignment="1">
      <alignment vertical="center"/>
    </xf>
    <xf numFmtId="0" fontId="2" fillId="0" borderId="0" xfId="0" applyFont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2" fillId="2" borderId="1" xfId="0" applyFont="1" applyFill="1" applyBorder="1"/>
    <xf numFmtId="10" fontId="2" fillId="0" borderId="0" xfId="0" applyNumberFormat="1" applyFont="1" applyAlignment="1">
      <alignment horizontal="center"/>
    </xf>
    <xf numFmtId="10" fontId="2" fillId="0" borderId="16" xfId="0" applyNumberFormat="1" applyFont="1" applyBorder="1" applyAlignment="1">
      <alignment horizontal="center"/>
    </xf>
    <xf numFmtId="10" fontId="2" fillId="0" borderId="17" xfId="0" applyNumberFormat="1" applyFont="1" applyBorder="1" applyAlignment="1">
      <alignment horizontal="center"/>
    </xf>
    <xf numFmtId="10" fontId="2" fillId="0" borderId="26" xfId="0" applyNumberFormat="1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8" fontId="10" fillId="0" borderId="22" xfId="102" applyNumberFormat="1" applyBorder="1"/>
    <xf numFmtId="0" fontId="10" fillId="0" borderId="15" xfId="102" applyBorder="1" applyAlignment="1">
      <alignment horizontal="center"/>
    </xf>
    <xf numFmtId="8" fontId="10" fillId="0" borderId="23" xfId="102" applyNumberFormat="1" applyBorder="1"/>
    <xf numFmtId="174" fontId="10" fillId="0" borderId="23" xfId="102" applyNumberFormat="1" applyBorder="1"/>
    <xf numFmtId="8" fontId="10" fillId="0" borderId="25" xfId="102" applyNumberFormat="1" applyBorder="1"/>
    <xf numFmtId="174" fontId="10" fillId="0" borderId="25" xfId="102" applyNumberFormat="1" applyBorder="1"/>
    <xf numFmtId="0" fontId="24" fillId="0" borderId="14" xfId="102" applyFont="1" applyBorder="1" applyAlignment="1">
      <alignment horizontal="left" vertical="center" wrapText="1"/>
    </xf>
    <xf numFmtId="49" fontId="24" fillId="0" borderId="14" xfId="102" applyNumberFormat="1" applyFont="1" applyBorder="1" applyAlignment="1">
      <alignment horizontal="left" vertical="center" wrapText="1"/>
    </xf>
    <xf numFmtId="0" fontId="24" fillId="0" borderId="12" xfId="102" applyFont="1" applyBorder="1" applyAlignment="1">
      <alignment horizontal="left" vertical="center" wrapText="1"/>
    </xf>
    <xf numFmtId="8" fontId="24" fillId="0" borderId="14" xfId="102" applyNumberFormat="1" applyFont="1" applyBorder="1" applyAlignment="1">
      <alignment horizontal="left" vertical="center" wrapText="1"/>
    </xf>
    <xf numFmtId="8" fontId="24" fillId="0" borderId="13" xfId="102" applyNumberFormat="1" applyFont="1" applyBorder="1" applyAlignment="1">
      <alignment horizontal="left" vertical="center" wrapText="1"/>
    </xf>
    <xf numFmtId="0" fontId="29" fillId="0" borderId="0" xfId="0" applyFont="1"/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23" xfId="0" applyBorder="1"/>
    <xf numFmtId="0" fontId="27" fillId="0" borderId="15" xfId="0" applyFont="1" applyBorder="1"/>
    <xf numFmtId="177" fontId="2" fillId="0" borderId="0" xfId="0" applyNumberFormat="1" applyFont="1" applyAlignment="1">
      <alignment horizontal="center"/>
    </xf>
    <xf numFmtId="0" fontId="30" fillId="0" borderId="15" xfId="0" applyFont="1" applyBorder="1"/>
    <xf numFmtId="0" fontId="29" fillId="0" borderId="0" xfId="0" applyFont="1" applyAlignment="1">
      <alignment horizontal="right"/>
    </xf>
    <xf numFmtId="0" fontId="30" fillId="0" borderId="0" xfId="0" applyFont="1"/>
    <xf numFmtId="0" fontId="29" fillId="0" borderId="23" xfId="0" applyFont="1" applyBorder="1" applyAlignment="1">
      <alignment horizontal="center"/>
    </xf>
    <xf numFmtId="10" fontId="29" fillId="0" borderId="0" xfId="0" applyNumberFormat="1" applyFont="1"/>
    <xf numFmtId="0" fontId="30" fillId="0" borderId="23" xfId="0" applyFont="1" applyBorder="1"/>
    <xf numFmtId="49" fontId="27" fillId="0" borderId="0" xfId="0" applyNumberFormat="1" applyFont="1" applyAlignment="1">
      <alignment horizontal="right"/>
    </xf>
    <xf numFmtId="14" fontId="27" fillId="0" borderId="23" xfId="0" applyNumberFormat="1" applyFont="1" applyBorder="1" applyAlignment="1">
      <alignment horizontal="center"/>
    </xf>
    <xf numFmtId="0" fontId="2" fillId="0" borderId="24" xfId="0" applyFont="1" applyBorder="1"/>
    <xf numFmtId="177" fontId="2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15" xfId="0" applyFont="1" applyBorder="1"/>
    <xf numFmtId="0" fontId="2" fillId="0" borderId="0" xfId="0" applyFont="1" applyAlignment="1">
      <alignment horizontal="center"/>
    </xf>
    <xf numFmtId="0" fontId="31" fillId="0" borderId="0" xfId="0" applyFont="1"/>
    <xf numFmtId="0" fontId="28" fillId="0" borderId="0" xfId="0" applyFont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0" xfId="0" applyFont="1"/>
    <xf numFmtId="177" fontId="27" fillId="0" borderId="0" xfId="0" applyNumberFormat="1" applyFont="1" applyAlignment="1">
      <alignment horizontal="right"/>
    </xf>
    <xf numFmtId="14" fontId="27" fillId="0" borderId="0" xfId="0" applyNumberFormat="1" applyFont="1" applyAlignment="1">
      <alignment horizontal="center"/>
    </xf>
    <xf numFmtId="178" fontId="27" fillId="0" borderId="23" xfId="0" applyNumberFormat="1" applyFont="1" applyBorder="1" applyAlignment="1">
      <alignment horizontal="right"/>
    </xf>
    <xf numFmtId="0" fontId="32" fillId="0" borderId="15" xfId="0" applyFont="1" applyBorder="1"/>
    <xf numFmtId="0" fontId="32" fillId="0" borderId="0" xfId="0" applyFont="1"/>
    <xf numFmtId="177" fontId="27" fillId="0" borderId="18" xfId="0" applyNumberFormat="1" applyFont="1" applyBorder="1" applyAlignment="1">
      <alignment horizontal="right"/>
    </xf>
    <xf numFmtId="0" fontId="32" fillId="0" borderId="18" xfId="0" applyFont="1" applyBorder="1" applyAlignment="1">
      <alignment horizontal="center"/>
    </xf>
    <xf numFmtId="178" fontId="32" fillId="0" borderId="25" xfId="0" applyNumberFormat="1" applyFont="1" applyBorder="1" applyAlignment="1">
      <alignment horizontal="right"/>
    </xf>
    <xf numFmtId="0" fontId="27" fillId="0" borderId="0" xfId="0" applyFont="1" applyAlignment="1">
      <alignment horizontal="right"/>
    </xf>
    <xf numFmtId="14" fontId="27" fillId="0" borderId="18" xfId="0" applyNumberFormat="1" applyFont="1" applyBorder="1" applyAlignment="1">
      <alignment horizontal="center"/>
    </xf>
    <xf numFmtId="178" fontId="27" fillId="0" borderId="25" xfId="0" applyNumberFormat="1" applyFont="1" applyBorder="1" applyAlignment="1">
      <alignment horizontal="right"/>
    </xf>
    <xf numFmtId="177" fontId="27" fillId="0" borderId="1" xfId="0" applyNumberFormat="1" applyFont="1" applyBorder="1" applyAlignment="1">
      <alignment horizontal="right"/>
    </xf>
    <xf numFmtId="178" fontId="27" fillId="0" borderId="1" xfId="0" applyNumberFormat="1" applyFont="1" applyBorder="1"/>
    <xf numFmtId="0" fontId="10" fillId="0" borderId="24" xfId="102" applyBorder="1" applyAlignment="1">
      <alignment horizontal="center" vertical="center"/>
    </xf>
    <xf numFmtId="14" fontId="10" fillId="0" borderId="18" xfId="102" applyNumberFormat="1" applyBorder="1" applyAlignment="1">
      <alignment horizontal="center" vertical="center"/>
    </xf>
    <xf numFmtId="0" fontId="10" fillId="0" borderId="18" xfId="102" applyBorder="1" applyAlignment="1">
      <alignment vertical="center"/>
    </xf>
    <xf numFmtId="0" fontId="24" fillId="0" borderId="18" xfId="102" applyFont="1" applyBorder="1" applyAlignment="1">
      <alignment horizontal="left" vertical="center"/>
    </xf>
    <xf numFmtId="0" fontId="10" fillId="0" borderId="18" xfId="102" applyBorder="1" applyAlignment="1">
      <alignment horizontal="left" vertical="center"/>
    </xf>
    <xf numFmtId="49" fontId="10" fillId="0" borderId="18" xfId="102" applyNumberFormat="1" applyBorder="1" applyAlignment="1">
      <alignment horizontal="center" vertical="center"/>
    </xf>
    <xf numFmtId="8" fontId="24" fillId="26" borderId="26" xfId="0" applyNumberFormat="1" applyFont="1" applyFill="1" applyBorder="1" applyAlignment="1">
      <alignment vertical="center"/>
    </xf>
    <xf numFmtId="0" fontId="10" fillId="0" borderId="20" xfId="102" applyBorder="1" applyAlignment="1">
      <alignment horizontal="center" vertical="center"/>
    </xf>
    <xf numFmtId="0" fontId="10" fillId="0" borderId="21" xfId="102" applyBorder="1" applyAlignment="1">
      <alignment vertical="center"/>
    </xf>
    <xf numFmtId="0" fontId="10" fillId="0" borderId="21" xfId="102" applyBorder="1" applyAlignment="1">
      <alignment horizontal="left" vertical="center"/>
    </xf>
    <xf numFmtId="14" fontId="10" fillId="0" borderId="21" xfId="102" applyNumberFormat="1" applyBorder="1" applyAlignment="1">
      <alignment horizontal="center" vertical="center"/>
    </xf>
    <xf numFmtId="8" fontId="0" fillId="0" borderId="21" xfId="0" applyNumberFormat="1" applyBorder="1"/>
    <xf numFmtId="10" fontId="0" fillId="0" borderId="21" xfId="0" applyNumberFormat="1" applyBorder="1" applyAlignment="1">
      <alignment horizontal="center"/>
    </xf>
    <xf numFmtId="8" fontId="0" fillId="0" borderId="22" xfId="0" applyNumberFormat="1" applyBorder="1"/>
    <xf numFmtId="8" fontId="0" fillId="0" borderId="23" xfId="0" applyNumberFormat="1" applyBorder="1"/>
    <xf numFmtId="8" fontId="0" fillId="0" borderId="18" xfId="0" applyNumberFormat="1" applyBorder="1"/>
    <xf numFmtId="10" fontId="0" fillId="0" borderId="18" xfId="0" applyNumberFormat="1" applyBorder="1" applyAlignment="1">
      <alignment horizontal="center"/>
    </xf>
    <xf numFmtId="8" fontId="0" fillId="0" borderId="25" xfId="0" applyNumberFormat="1" applyBorder="1"/>
    <xf numFmtId="14" fontId="0" fillId="0" borderId="1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73" fontId="0" fillId="0" borderId="18" xfId="0" applyNumberFormat="1" applyBorder="1"/>
    <xf numFmtId="172" fontId="0" fillId="0" borderId="18" xfId="0" applyNumberFormat="1" applyBorder="1" applyAlignment="1">
      <alignment horizontal="center"/>
    </xf>
    <xf numFmtId="49" fontId="0" fillId="0" borderId="18" xfId="0" applyNumberFormat="1" applyBorder="1"/>
    <xf numFmtId="0" fontId="30" fillId="0" borderId="0" xfId="0" applyFont="1" applyAlignment="1">
      <alignment horizontal="center"/>
    </xf>
    <xf numFmtId="8" fontId="10" fillId="0" borderId="0" xfId="102" applyNumberFormat="1" applyAlignment="1">
      <alignment horizontal="left" vertical="center"/>
    </xf>
    <xf numFmtId="14" fontId="10" fillId="0" borderId="0" xfId="102" applyNumberFormat="1" applyAlignment="1">
      <alignment horizontal="center"/>
    </xf>
    <xf numFmtId="0" fontId="24" fillId="0" borderId="0" xfId="102" applyFont="1" applyAlignment="1">
      <alignment horizontal="left"/>
    </xf>
    <xf numFmtId="175" fontId="10" fillId="0" borderId="0" xfId="102" applyNumberFormat="1" applyAlignment="1">
      <alignment horizontal="center"/>
    </xf>
    <xf numFmtId="0" fontId="10" fillId="0" borderId="0" xfId="102" applyAlignment="1">
      <alignment horizontal="right"/>
    </xf>
    <xf numFmtId="0" fontId="24" fillId="2" borderId="0" xfId="102" applyFont="1" applyFill="1" applyAlignment="1">
      <alignment horizontal="center"/>
    </xf>
    <xf numFmtId="176" fontId="10" fillId="0" borderId="0" xfId="102" applyNumberFormat="1" applyAlignment="1">
      <alignment horizontal="center"/>
    </xf>
    <xf numFmtId="0" fontId="24" fillId="0" borderId="20" xfId="102" applyFont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8" fontId="24" fillId="0" borderId="24" xfId="102" applyNumberFormat="1" applyFont="1" applyBorder="1" applyAlignment="1">
      <alignment vertical="center"/>
    </xf>
    <xf numFmtId="8" fontId="24" fillId="0" borderId="26" xfId="102" applyNumberFormat="1" applyFont="1" applyBorder="1" applyAlignment="1">
      <alignment vertical="center"/>
    </xf>
    <xf numFmtId="0" fontId="10" fillId="0" borderId="25" xfId="102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73" fontId="27" fillId="2" borderId="12" xfId="0" applyNumberFormat="1" applyFont="1" applyFill="1" applyBorder="1"/>
    <xf numFmtId="176" fontId="27" fillId="2" borderId="14" xfId="0" applyNumberFormat="1" applyFont="1" applyFill="1" applyBorder="1" applyAlignment="1">
      <alignment horizontal="center"/>
    </xf>
    <xf numFmtId="1" fontId="27" fillId="2" borderId="14" xfId="0" applyNumberFormat="1" applyFont="1" applyFill="1" applyBorder="1" applyAlignment="1">
      <alignment horizontal="center"/>
    </xf>
    <xf numFmtId="8" fontId="27" fillId="2" borderId="13" xfId="0" applyNumberFormat="1" applyFont="1" applyFill="1" applyBorder="1"/>
    <xf numFmtId="8" fontId="24" fillId="0" borderId="12" xfId="102" applyNumberFormat="1" applyFont="1" applyBorder="1" applyAlignment="1">
      <alignment horizontal="center" vertical="center"/>
    </xf>
    <xf numFmtId="0" fontId="24" fillId="0" borderId="13" xfId="102" applyFont="1" applyBorder="1" applyAlignment="1">
      <alignment horizontal="center" vertical="center"/>
    </xf>
    <xf numFmtId="0" fontId="29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9" fillId="0" borderId="13" xfId="0" applyFont="1" applyBorder="1" applyAlignment="1">
      <alignment horizontal="center"/>
    </xf>
  </cellXfs>
  <cellStyles count="145">
    <cellStyle name="20% - Colore 1" xfId="1" xr:uid="{00000000-0005-0000-0000-000000000000}"/>
    <cellStyle name="20% - Colore 2" xfId="2" xr:uid="{00000000-0005-0000-0000-000001000000}"/>
    <cellStyle name="20% - Colore 3" xfId="3" xr:uid="{00000000-0005-0000-0000-000002000000}"/>
    <cellStyle name="20% - Colore 4" xfId="4" xr:uid="{00000000-0005-0000-0000-000003000000}"/>
    <cellStyle name="20% - Colore 5" xfId="5" xr:uid="{00000000-0005-0000-0000-000004000000}"/>
    <cellStyle name="20% - Colore 6" xfId="6" xr:uid="{00000000-0005-0000-0000-000005000000}"/>
    <cellStyle name="20% - Ênfase1" xfId="7" xr:uid="{00000000-0005-0000-0000-000006000000}"/>
    <cellStyle name="20% - Ênfase1 2" xfId="8" xr:uid="{00000000-0005-0000-0000-000007000000}"/>
    <cellStyle name="20% - Ênfase2" xfId="9" xr:uid="{00000000-0005-0000-0000-000008000000}"/>
    <cellStyle name="20% - Ênfase2 2" xfId="10" xr:uid="{00000000-0005-0000-0000-000009000000}"/>
    <cellStyle name="20% - Ênfase3" xfId="11" xr:uid="{00000000-0005-0000-0000-00000A000000}"/>
    <cellStyle name="20% - Ênfase3 2" xfId="12" xr:uid="{00000000-0005-0000-0000-00000B000000}"/>
    <cellStyle name="20% - Ênfase4" xfId="13" xr:uid="{00000000-0005-0000-0000-00000C000000}"/>
    <cellStyle name="20% - Ênfase4 2" xfId="14" xr:uid="{00000000-0005-0000-0000-00000D000000}"/>
    <cellStyle name="20% - Ênfase5" xfId="15" xr:uid="{00000000-0005-0000-0000-00000E000000}"/>
    <cellStyle name="20% - Ênfase5 2" xfId="16" xr:uid="{00000000-0005-0000-0000-00000F000000}"/>
    <cellStyle name="20% - Ênfase6" xfId="17" xr:uid="{00000000-0005-0000-0000-000010000000}"/>
    <cellStyle name="20% - Ênfase6 2" xfId="18" xr:uid="{00000000-0005-0000-0000-000011000000}"/>
    <cellStyle name="40% - Colore 1" xfId="19" xr:uid="{00000000-0005-0000-0000-000012000000}"/>
    <cellStyle name="40% - Colore 2" xfId="20" xr:uid="{00000000-0005-0000-0000-000013000000}"/>
    <cellStyle name="40% - Colore 3" xfId="21" xr:uid="{00000000-0005-0000-0000-000014000000}"/>
    <cellStyle name="40% - Colore 4" xfId="22" xr:uid="{00000000-0005-0000-0000-000015000000}"/>
    <cellStyle name="40% - Colore 5" xfId="23" xr:uid="{00000000-0005-0000-0000-000016000000}"/>
    <cellStyle name="40% - Colore 6" xfId="24" xr:uid="{00000000-0005-0000-0000-000017000000}"/>
    <cellStyle name="40% - Ênfase1" xfId="25" xr:uid="{00000000-0005-0000-0000-000018000000}"/>
    <cellStyle name="40% - Ênfase1 2" xfId="26" xr:uid="{00000000-0005-0000-0000-000019000000}"/>
    <cellStyle name="40% - Ênfase2" xfId="27" xr:uid="{00000000-0005-0000-0000-00001A000000}"/>
    <cellStyle name="40% - Ênfase2 2" xfId="28" xr:uid="{00000000-0005-0000-0000-00001B000000}"/>
    <cellStyle name="40% - Ênfase3" xfId="29" xr:uid="{00000000-0005-0000-0000-00001C000000}"/>
    <cellStyle name="40% - Ênfase3 2" xfId="30" xr:uid="{00000000-0005-0000-0000-00001D000000}"/>
    <cellStyle name="40% - Ênfase4" xfId="31" xr:uid="{00000000-0005-0000-0000-00001E000000}"/>
    <cellStyle name="40% - Ênfase4 2" xfId="32" xr:uid="{00000000-0005-0000-0000-00001F000000}"/>
    <cellStyle name="40% - Ênfase5" xfId="33" xr:uid="{00000000-0005-0000-0000-000020000000}"/>
    <cellStyle name="40% - Ênfase5 2" xfId="34" xr:uid="{00000000-0005-0000-0000-000021000000}"/>
    <cellStyle name="40% - Ênfase6" xfId="35" xr:uid="{00000000-0005-0000-0000-000022000000}"/>
    <cellStyle name="40% - Ênfase6 2" xfId="36" xr:uid="{00000000-0005-0000-0000-000023000000}"/>
    <cellStyle name="60% - Colore 1" xfId="37" xr:uid="{00000000-0005-0000-0000-000024000000}"/>
    <cellStyle name="60% - Colore 2" xfId="38" xr:uid="{00000000-0005-0000-0000-000025000000}"/>
    <cellStyle name="60% - Colore 3" xfId="39" xr:uid="{00000000-0005-0000-0000-000026000000}"/>
    <cellStyle name="60% - Colore 4" xfId="40" xr:uid="{00000000-0005-0000-0000-000027000000}"/>
    <cellStyle name="60% - Colore 5" xfId="41" xr:uid="{00000000-0005-0000-0000-000028000000}"/>
    <cellStyle name="60% - Colore 6" xfId="42" xr:uid="{00000000-0005-0000-0000-000029000000}"/>
    <cellStyle name="60% - Ênfase1" xfId="43" xr:uid="{00000000-0005-0000-0000-00002A000000}"/>
    <cellStyle name="60% - Ênfase1 2" xfId="44" xr:uid="{00000000-0005-0000-0000-00002B000000}"/>
    <cellStyle name="60% - Ênfase2" xfId="45" xr:uid="{00000000-0005-0000-0000-00002C000000}"/>
    <cellStyle name="60% - Ênfase2 2" xfId="46" xr:uid="{00000000-0005-0000-0000-00002D000000}"/>
    <cellStyle name="60% - Ênfase3" xfId="47" xr:uid="{00000000-0005-0000-0000-00002E000000}"/>
    <cellStyle name="60% - Ênfase3 2" xfId="48" xr:uid="{00000000-0005-0000-0000-00002F000000}"/>
    <cellStyle name="60% - Ênfase4" xfId="49" xr:uid="{00000000-0005-0000-0000-000030000000}"/>
    <cellStyle name="60% - Ênfase4 2" xfId="50" xr:uid="{00000000-0005-0000-0000-000031000000}"/>
    <cellStyle name="60% - Ênfase5" xfId="51" xr:uid="{00000000-0005-0000-0000-000032000000}"/>
    <cellStyle name="60% - Ênfase5 2" xfId="52" xr:uid="{00000000-0005-0000-0000-000033000000}"/>
    <cellStyle name="60% - Ênfase6" xfId="53" xr:uid="{00000000-0005-0000-0000-000034000000}"/>
    <cellStyle name="60% - Ênfase6 2" xfId="54" xr:uid="{00000000-0005-0000-0000-000035000000}"/>
    <cellStyle name="Bom" xfId="55" xr:uid="{00000000-0005-0000-0000-000036000000}"/>
    <cellStyle name="Bom 2" xfId="56" xr:uid="{00000000-0005-0000-0000-000037000000}"/>
    <cellStyle name="Calcolo" xfId="57" xr:uid="{00000000-0005-0000-0000-000038000000}"/>
    <cellStyle name="Cálculo" xfId="58" xr:uid="{00000000-0005-0000-0000-000039000000}"/>
    <cellStyle name="Cálculo 2" xfId="59" xr:uid="{00000000-0005-0000-0000-00003A000000}"/>
    <cellStyle name="cBMilliers" xfId="60" xr:uid="{00000000-0005-0000-0000-00003B000000}"/>
    <cellStyle name="cBMilliers-" xfId="61" xr:uid="{00000000-0005-0000-0000-00003C000000}"/>
    <cellStyle name="Cella collegata" xfId="62" xr:uid="{00000000-0005-0000-0000-00003D000000}"/>
    <cellStyle name="Cella da controllare" xfId="63" xr:uid="{00000000-0005-0000-0000-00003E000000}"/>
    <cellStyle name="Célula de Verificação" xfId="64" xr:uid="{00000000-0005-0000-0000-00003F000000}"/>
    <cellStyle name="Célula de Verificação 2" xfId="65" xr:uid="{00000000-0005-0000-0000-000040000000}"/>
    <cellStyle name="Célula Vinculada" xfId="66" xr:uid="{00000000-0005-0000-0000-000041000000}"/>
    <cellStyle name="Célula Vinculada 2" xfId="67" xr:uid="{00000000-0005-0000-0000-000042000000}"/>
    <cellStyle name="Colore 1" xfId="68" xr:uid="{00000000-0005-0000-0000-000043000000}"/>
    <cellStyle name="Colore 2" xfId="69" xr:uid="{00000000-0005-0000-0000-000044000000}"/>
    <cellStyle name="Colore 3" xfId="70" xr:uid="{00000000-0005-0000-0000-000045000000}"/>
    <cellStyle name="Colore 4" xfId="71" xr:uid="{00000000-0005-0000-0000-000046000000}"/>
    <cellStyle name="Colore 5" xfId="72" xr:uid="{00000000-0005-0000-0000-000047000000}"/>
    <cellStyle name="Colore 6" xfId="73" xr:uid="{00000000-0005-0000-0000-000048000000}"/>
    <cellStyle name="Comma 2" xfId="74" xr:uid="{00000000-0005-0000-0000-000049000000}"/>
    <cellStyle name="Comma 3" xfId="75" xr:uid="{00000000-0005-0000-0000-00004A000000}"/>
    <cellStyle name="Comma 4" xfId="76" xr:uid="{00000000-0005-0000-0000-00004B000000}"/>
    <cellStyle name="Currency 2" xfId="77" xr:uid="{00000000-0005-0000-0000-00004C000000}"/>
    <cellStyle name="Currency 3" xfId="78" xr:uid="{00000000-0005-0000-0000-00004D000000}"/>
    <cellStyle name="Currency 4" xfId="79" xr:uid="{00000000-0005-0000-0000-00004E000000}"/>
    <cellStyle name="Currency 5" xfId="80" xr:uid="{00000000-0005-0000-0000-00004F000000}"/>
    <cellStyle name="Ênfase1" xfId="81" xr:uid="{00000000-0005-0000-0000-000050000000}"/>
    <cellStyle name="Ênfase1 2" xfId="82" xr:uid="{00000000-0005-0000-0000-000051000000}"/>
    <cellStyle name="Ênfase2" xfId="83" xr:uid="{00000000-0005-0000-0000-000052000000}"/>
    <cellStyle name="Ênfase2 2" xfId="84" xr:uid="{00000000-0005-0000-0000-000053000000}"/>
    <cellStyle name="Ênfase3" xfId="85" xr:uid="{00000000-0005-0000-0000-000054000000}"/>
    <cellStyle name="Ênfase3 2" xfId="86" xr:uid="{00000000-0005-0000-0000-000055000000}"/>
    <cellStyle name="Ênfase4" xfId="87" xr:uid="{00000000-0005-0000-0000-000056000000}"/>
    <cellStyle name="Ênfase4 2" xfId="88" xr:uid="{00000000-0005-0000-0000-000057000000}"/>
    <cellStyle name="Ênfase5" xfId="89" xr:uid="{00000000-0005-0000-0000-000058000000}"/>
    <cellStyle name="Ênfase5 2" xfId="90" xr:uid="{00000000-0005-0000-0000-000059000000}"/>
    <cellStyle name="Ênfase6" xfId="91" xr:uid="{00000000-0005-0000-0000-00005A000000}"/>
    <cellStyle name="Ênfase6 2" xfId="92" xr:uid="{00000000-0005-0000-0000-00005B000000}"/>
    <cellStyle name="Entrada" xfId="93" xr:uid="{00000000-0005-0000-0000-00005C000000}"/>
    <cellStyle name="Entrada 2" xfId="94" xr:uid="{00000000-0005-0000-0000-00005D000000}"/>
    <cellStyle name="Euro" xfId="95" xr:uid="{00000000-0005-0000-0000-00005E000000}"/>
    <cellStyle name="Euro 2" xfId="96" xr:uid="{00000000-0005-0000-0000-00005F000000}"/>
    <cellStyle name="Incorreto" xfId="97" xr:uid="{00000000-0005-0000-0000-000060000000}"/>
    <cellStyle name="Incorreto 2" xfId="98" xr:uid="{00000000-0005-0000-0000-000061000000}"/>
    <cellStyle name="Neutra" xfId="99" xr:uid="{00000000-0005-0000-0000-000062000000}"/>
    <cellStyle name="Neutra 2" xfId="100" xr:uid="{00000000-0005-0000-0000-000063000000}"/>
    <cellStyle name="Neutrale" xfId="101" xr:uid="{00000000-0005-0000-0000-000064000000}"/>
    <cellStyle name="Normal 2" xfId="102" xr:uid="{00000000-0005-0000-0000-000066000000}"/>
    <cellStyle name="Normal 2 2" xfId="103" xr:uid="{00000000-0005-0000-0000-000067000000}"/>
    <cellStyle name="Normal 2 2 2" xfId="104" xr:uid="{00000000-0005-0000-0000-000068000000}"/>
    <cellStyle name="Normal 2 3" xfId="105" xr:uid="{00000000-0005-0000-0000-000069000000}"/>
    <cellStyle name="Normal 3" xfId="106" xr:uid="{00000000-0005-0000-0000-00006A000000}"/>
    <cellStyle name="Normal 3 2" xfId="107" xr:uid="{00000000-0005-0000-0000-00006B000000}"/>
    <cellStyle name="Normal 4" xfId="108" xr:uid="{00000000-0005-0000-0000-00006C000000}"/>
    <cellStyle name="Normal 5" xfId="109" xr:uid="{00000000-0005-0000-0000-00006D000000}"/>
    <cellStyle name="Normal 6" xfId="110" xr:uid="{00000000-0005-0000-0000-00006E000000}"/>
    <cellStyle name="Normal 6 2" xfId="111" xr:uid="{00000000-0005-0000-0000-00006F000000}"/>
    <cellStyle name="Normale" xfId="0" builtinId="0"/>
    <cellStyle name="Normale 2" xfId="112" xr:uid="{00000000-0005-0000-0000-000070000000}"/>
    <cellStyle name="Normale 3" xfId="113" xr:uid="{00000000-0005-0000-0000-000071000000}"/>
    <cellStyle name="Nota" xfId="114" xr:uid="{00000000-0005-0000-0000-000072000000}"/>
    <cellStyle name="Nota 2" xfId="115" xr:uid="{00000000-0005-0000-0000-000073000000}"/>
    <cellStyle name="Nota 2 2" xfId="116" xr:uid="{00000000-0005-0000-0000-000074000000}"/>
    <cellStyle name="Percent 2" xfId="117" xr:uid="{00000000-0005-0000-0000-000075000000}"/>
    <cellStyle name="Percentuale 2" xfId="118" xr:uid="{00000000-0005-0000-0000-000076000000}"/>
    <cellStyle name="Saída" xfId="119" xr:uid="{00000000-0005-0000-0000-000077000000}"/>
    <cellStyle name="Saída 2" xfId="120" xr:uid="{00000000-0005-0000-0000-000078000000}"/>
    <cellStyle name="Testo avviso" xfId="121" xr:uid="{00000000-0005-0000-0000-000079000000}"/>
    <cellStyle name="Testo descrittivo" xfId="122" xr:uid="{00000000-0005-0000-0000-00007A000000}"/>
    <cellStyle name="Texto de Aviso" xfId="123" xr:uid="{00000000-0005-0000-0000-00007B000000}"/>
    <cellStyle name="Texto de Aviso 2" xfId="124" xr:uid="{00000000-0005-0000-0000-00007C000000}"/>
    <cellStyle name="Texto Explicativo" xfId="125" xr:uid="{00000000-0005-0000-0000-00007D000000}"/>
    <cellStyle name="Texto Explicativo 2" xfId="126" xr:uid="{00000000-0005-0000-0000-00007E000000}"/>
    <cellStyle name="Titolo" xfId="127" xr:uid="{00000000-0005-0000-0000-00007F000000}"/>
    <cellStyle name="Titolo 1" xfId="128" xr:uid="{00000000-0005-0000-0000-000080000000}"/>
    <cellStyle name="Titolo 2" xfId="129" xr:uid="{00000000-0005-0000-0000-000081000000}"/>
    <cellStyle name="Titolo 3" xfId="130" xr:uid="{00000000-0005-0000-0000-000082000000}"/>
    <cellStyle name="Titolo 4" xfId="131" xr:uid="{00000000-0005-0000-0000-000083000000}"/>
    <cellStyle name="Título" xfId="132" xr:uid="{00000000-0005-0000-0000-000084000000}"/>
    <cellStyle name="Título 1" xfId="133" xr:uid="{00000000-0005-0000-0000-000085000000}"/>
    <cellStyle name="Título 1 2" xfId="134" xr:uid="{00000000-0005-0000-0000-000086000000}"/>
    <cellStyle name="Título 2" xfId="135" xr:uid="{00000000-0005-0000-0000-000087000000}"/>
    <cellStyle name="Título 2 2" xfId="136" xr:uid="{00000000-0005-0000-0000-000088000000}"/>
    <cellStyle name="Título 3" xfId="137" xr:uid="{00000000-0005-0000-0000-000089000000}"/>
    <cellStyle name="Título 3 2" xfId="138" xr:uid="{00000000-0005-0000-0000-00008A000000}"/>
    <cellStyle name="Título 4" xfId="139" xr:uid="{00000000-0005-0000-0000-00008B000000}"/>
    <cellStyle name="Título 4 2" xfId="140" xr:uid="{00000000-0005-0000-0000-00008C000000}"/>
    <cellStyle name="Título 5" xfId="141" xr:uid="{00000000-0005-0000-0000-00008D000000}"/>
    <cellStyle name="Total 2" xfId="142" xr:uid="{00000000-0005-0000-0000-00008E000000}"/>
    <cellStyle name="Valore non valido" xfId="143" xr:uid="{00000000-0005-0000-0000-00008F000000}"/>
    <cellStyle name="Valore valido" xfId="144" xr:uid="{00000000-0005-0000-0000-000090000000}"/>
  </cellStyles>
  <dxfs count="4">
    <dxf>
      <font>
        <color rgb="FFFF0000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PRIETA/FOREX/FOREX%20Calculator.xlsm" TargetMode="External"/><Relationship Id="rId2" Type="http://schemas.openxmlformats.org/officeDocument/2006/relationships/externalLinkPath" Target="file:///E:\PROPRIETA\FOREX\FOREX%20Calculator.xlsm" TargetMode="External"/><Relationship Id="rId1" Type="http://schemas.openxmlformats.org/officeDocument/2006/relationships/externalLinkPath" Target="/PROPRIETA/FOREX/FOREX%20Calcula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sso"/>
      <sheetName val="cambio"/>
      <sheetName val="cambio (USD)"/>
      <sheetName val="cambio (BRL)"/>
      <sheetName val="Cambi R$"/>
      <sheetName val="Cambi"/>
      <sheetName val="Cambi Mes"/>
    </sheetNames>
    <sheetDataSet>
      <sheetData sheetId="0">
        <row r="1">
          <cell r="E1">
            <v>46204</v>
          </cell>
        </row>
        <row r="18">
          <cell r="C18">
            <v>5.8822830000000002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" refreshedDate="46271.885039236113" createdVersion="8" refreshedVersion="8" minRefreshableVersion="3" recordCount="67" xr:uid="{BEC7E0F4-8CE4-4ECA-8BD9-B963401BB7CD}">
  <cacheSource type="worksheet">
    <worksheetSource ref="A1:Y68" sheet="COMPTAB"/>
  </cacheSource>
  <cacheFields count="25">
    <cacheField name="data" numFmtId="14">
      <sharedItems containsNonDate="0" containsDate="1" containsString="0" containsBlank="1" minDate="2025-03-31T00:00:00" maxDate="2026-07-28T00:00:00"/>
    </cacheField>
    <cacheField name="valuta " numFmtId="14">
      <sharedItems containsNonDate="0" containsDate="1" containsString="0" containsBlank="1" minDate="2025-08-29T00:00:00" maxDate="2026-07-28T00:00:00"/>
    </cacheField>
    <cacheField name="Mese" numFmtId="1">
      <sharedItems containsBlank="1" containsMixedTypes="1" containsNumber="1" containsInteger="1" minValue="1" maxValue="12"/>
    </cacheField>
    <cacheField name="anno" numFmtId="1">
      <sharedItems containsBlank="1" containsMixedTypes="1" containsNumber="1" containsInteger="1" minValue="2025" maxValue="2026" count="4">
        <n v="2025"/>
        <n v="2026"/>
        <m/>
        <s v=""/>
      </sharedItems>
    </cacheField>
    <cacheField name="Competenza" numFmtId="1">
      <sharedItems containsString="0" containsBlank="1" containsNumber="1" containsInteger="1" minValue="2025" maxValue="2026"/>
    </cacheField>
    <cacheField name="BRL" numFmtId="173">
      <sharedItems containsString="0" containsBlank="1" containsNumber="1" containsInteger="1" minValue="227258" maxValue="1443941"/>
    </cacheField>
    <cacheField name="Change" numFmtId="0">
      <sharedItems containsString="0" containsBlank="1" containsNumber="1" minValue="5.6814499999999999" maxValue="6.3568199999999999"/>
    </cacheField>
    <cacheField name="INTR" numFmtId="1">
      <sharedItems containsBlank="1"/>
    </cacheField>
    <cacheField name="Imp" numFmtId="8">
      <sharedItems containsString="0" containsBlank="1" containsNumber="1" minValue="-240000" maxValue="40000"/>
    </cacheField>
    <cacheField name="% TVA" numFmtId="10">
      <sharedItems containsString="0" containsBlank="1" containsNumber="1" minValue="0" maxValue="0.17"/>
    </cacheField>
    <cacheField name="TVA" numFmtId="8">
      <sharedItems containsString="0" containsBlank="1" containsNumber="1" minValue="-581.20000000000005" maxValue="581.20000000000005"/>
    </cacheField>
    <cacheField name="Importo" numFmtId="0">
      <sharedItems containsString="0" containsBlank="1" containsNumber="1" minValue="-50000" maxValue="40000"/>
    </cacheField>
    <cacheField name="Progressivo" numFmtId="0">
      <sharedItems containsString="0" containsBlank="1" containsNumber="1" minValue="0" maxValue="100232.51700000001"/>
    </cacheField>
    <cacheField name="B/P" numFmtId="0">
      <sharedItems containsBlank="1" count="3">
        <s v="BIL"/>
        <s v="PP"/>
        <m/>
      </sharedItems>
    </cacheField>
    <cacheField name="A/P C/R" numFmtId="0">
      <sharedItems containsBlank="1" count="4">
        <s v="CAPITAUX PROPRES ET PASSIF"/>
        <s v="COSTS"/>
        <s v="IMMOBILISATIONS"/>
        <m/>
      </sharedItems>
    </cacheField>
    <cacheField name="CLASSE" numFmtId="0">
      <sharedItems containsBlank="1"/>
    </cacheField>
    <cacheField name="TIPOLOGIA" numFmtId="0">
      <sharedItems containsBlank="1" count="5">
        <s v="I. CAPITAL SOUSCRIT"/>
        <s v="6135000 - FRAIS D'ACTES NOTARIES ET ASSIMILES"/>
        <s v="61333 - FRAIS DE COMPTE BANQUE"/>
        <s v="233 - PARTICIPATIONS"/>
        <m/>
      </sharedItems>
    </cacheField>
    <cacheField name="Type" numFmtId="0">
      <sharedItems containsNonDate="0" containsString="0" containsBlank="1"/>
    </cacheField>
    <cacheField name="descrizione" numFmtId="0">
      <sharedItems containsBlank="1" count="16">
        <s v="1010000 - Capital Souscrit"/>
        <s v="Immatriculationn - Frais administratifs"/>
        <s v="Frais d'extrait RCS"/>
        <s v="Frais d'extrait RCS - Papier Securise"/>
        <s v="Inscription au RBE des Beneficiaires effectifs"/>
        <s v="Apostille sur documentation Ministere des Affaires Etrangeres et Europeennes"/>
        <s v="Legalisation documentation"/>
        <s v="Remboursement des Frais"/>
        <s v="Frais bancaires"/>
        <s v="Acquisition de participation "/>
        <s v="Participation Fee 2%"/>
        <m/>
        <s v="Frais d'extrait RCS - Papier Sécurisé" u="1"/>
        <s v="Inscription au RBE dés Bénéficiaires effectifs" u="1"/>
        <s v="Apostille sur documentation Ministère des Affaires Etrangeres et Européennes" u="1"/>
        <s v="Légalisation documentation" u="1"/>
      </sharedItems>
    </cacheField>
    <cacheField name="Fattura" numFmtId="49">
      <sharedItems containsBlank="1"/>
    </cacheField>
    <cacheField name="Beneficiario" numFmtId="0">
      <sharedItems containsBlank="1" count="20">
        <s v="NEW LIFE Sarl"/>
        <s v="Tubia Edoardo"/>
        <s v="R.C.S. Luxembourg"/>
        <s v="R.B.E. Luxembourg"/>
        <s v="Ministere des Affaires Etrangeres et Europeennes"/>
        <s v="Notaire Martine Schaeffer"/>
        <s v="Tubia Silvia"/>
        <s v="Banque de Luxembourg"/>
        <s v="TRI STAR ENERBRAS ONE SCP"/>
        <s v="Bertozzi Stefano"/>
        <s v="De Miguel Bellvis Maria"/>
        <s v="Desiderio Salvatore"/>
        <s v="Tubia Enrico"/>
        <s v="Zaniboni Elisa"/>
        <s v="Zaniboni Greta"/>
        <s v="Sterzi Marco"/>
        <s v="Miletti Giovanni"/>
        <m/>
        <s v="New Life Sàrl" u="1"/>
        <s v="Ministère des Affaires Etrangeres et Européennes" u="1"/>
      </sharedItems>
    </cacheField>
    <cacheField name="BANK" numFmtId="0">
      <sharedItems containsBlank="1" count="2">
        <s v="BDL"/>
        <m/>
      </sharedItems>
    </cacheField>
    <cacheField name="Origine" numFmtId="0">
      <sharedItems containsBlank="1"/>
    </cacheField>
    <cacheField name="PAYE" numFmtId="0">
      <sharedItems containsBlank="1" count="3">
        <s v="OUI"/>
        <m/>
        <s v="NON"/>
      </sharedItems>
    </cacheField>
    <cacheField name="TVA 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d v="2025-08-29T00:00:00"/>
    <d v="2025-08-29T00:00:00"/>
    <n v="8"/>
    <x v="0"/>
    <n v="2025"/>
    <m/>
    <m/>
    <s v="LUX"/>
    <n v="1000"/>
    <m/>
    <m/>
    <n v="1000"/>
    <n v="1000"/>
    <x v="0"/>
    <x v="0"/>
    <s v="A. CAPITAUX PROPRES"/>
    <x v="0"/>
    <m/>
    <x v="0"/>
    <m/>
    <x v="0"/>
    <x v="0"/>
    <s v="NEW LIFE Sarl"/>
    <x v="0"/>
    <m/>
  </r>
  <r>
    <d v="2025-09-01T00:00:00"/>
    <d v="2025-09-01T00:00:00"/>
    <n v="9"/>
    <x v="0"/>
    <n v="2025"/>
    <m/>
    <m/>
    <s v="LUX"/>
    <n v="10000"/>
    <m/>
    <m/>
    <n v="10000"/>
    <n v="11000"/>
    <x v="0"/>
    <x v="0"/>
    <s v="A. CAPITAUX PROPRES"/>
    <x v="0"/>
    <m/>
    <x v="0"/>
    <m/>
    <x v="1"/>
    <x v="0"/>
    <s v="Tubia Edoardo"/>
    <x v="0"/>
    <m/>
  </r>
  <r>
    <d v="2025-03-31T00:00:00"/>
    <d v="2025-09-02T00:00:00"/>
    <n v="9"/>
    <x v="0"/>
    <n v="2025"/>
    <m/>
    <m/>
    <s v="LUX"/>
    <n v="-105.91"/>
    <n v="0.17"/>
    <n v="-18.0047"/>
    <n v="-123.9147"/>
    <n v="10876.085300000001"/>
    <x v="1"/>
    <x v="1"/>
    <m/>
    <x v="1"/>
    <m/>
    <x v="1"/>
    <s v="001-2025"/>
    <x v="2"/>
    <x v="1"/>
    <s v="Green Enerbras One SCSp"/>
    <x v="0"/>
    <s v="X"/>
  </r>
  <r>
    <d v="2025-03-31T00:00:00"/>
    <d v="2025-09-02T00:00:00"/>
    <n v="9"/>
    <x v="0"/>
    <n v="2025"/>
    <m/>
    <m/>
    <s v="LUX"/>
    <n v="-12"/>
    <n v="0"/>
    <n v="0"/>
    <n v="-12"/>
    <n v="10864.085300000001"/>
    <x v="1"/>
    <x v="1"/>
    <m/>
    <x v="1"/>
    <m/>
    <x v="2"/>
    <s v="001-2025"/>
    <x v="2"/>
    <x v="1"/>
    <s v="Green Enerbras One SCSp"/>
    <x v="0"/>
    <s v="X"/>
  </r>
  <r>
    <d v="2025-04-07T00:00:00"/>
    <d v="2025-09-02T00:00:00"/>
    <n v="9"/>
    <x v="0"/>
    <n v="2025"/>
    <m/>
    <m/>
    <s v="LUX"/>
    <n v="-21.43"/>
    <n v="0.17"/>
    <n v="-3.6431"/>
    <n v="-25.0731"/>
    <n v="10839.012200000001"/>
    <x v="1"/>
    <x v="1"/>
    <m/>
    <x v="1"/>
    <m/>
    <x v="3"/>
    <s v="002-2025"/>
    <x v="2"/>
    <x v="1"/>
    <s v="Green Enerbras One SCSp"/>
    <x v="0"/>
    <s v="X"/>
  </r>
  <r>
    <d v="2025-04-07T00:00:00"/>
    <d v="2025-09-02T00:00:00"/>
    <n v="9"/>
    <x v="0"/>
    <n v="2025"/>
    <m/>
    <m/>
    <s v="LUX"/>
    <n v="-15"/>
    <n v="0.17"/>
    <n v="-2.5500000000000003"/>
    <n v="-17.55"/>
    <n v="10821.462200000002"/>
    <x v="1"/>
    <x v="1"/>
    <m/>
    <x v="1"/>
    <m/>
    <x v="4"/>
    <s v="003-2025"/>
    <x v="3"/>
    <x v="1"/>
    <s v="Green Enerbras One SCSp"/>
    <x v="0"/>
    <s v="X"/>
  </r>
  <r>
    <d v="2025-04-07T00:00:00"/>
    <d v="2025-09-02T00:00:00"/>
    <n v="9"/>
    <x v="0"/>
    <n v="2025"/>
    <m/>
    <m/>
    <s v="LUX"/>
    <n v="-60"/>
    <n v="0"/>
    <n v="0"/>
    <n v="-60"/>
    <n v="10761.462200000002"/>
    <x v="1"/>
    <x v="1"/>
    <m/>
    <x v="1"/>
    <m/>
    <x v="5"/>
    <s v="004-2025"/>
    <x v="4"/>
    <x v="1"/>
    <s v="Green Enerbras One SCSp"/>
    <x v="0"/>
    <s v="X"/>
  </r>
  <r>
    <d v="2025-04-08T00:00:00"/>
    <d v="2025-09-02T00:00:00"/>
    <n v="9"/>
    <x v="0"/>
    <n v="2025"/>
    <m/>
    <m/>
    <s v="LUX"/>
    <n v="-40"/>
    <n v="0"/>
    <n v="0"/>
    <n v="-40"/>
    <n v="10721.462200000002"/>
    <x v="1"/>
    <x v="1"/>
    <m/>
    <x v="1"/>
    <m/>
    <x v="5"/>
    <s v="005-2025"/>
    <x v="4"/>
    <x v="1"/>
    <s v="Green Enerbras One SCSp"/>
    <x v="0"/>
    <s v="X"/>
  </r>
  <r>
    <d v="2025-05-02T00:00:00"/>
    <d v="2025-09-02T00:00:00"/>
    <n v="9"/>
    <x v="0"/>
    <n v="2025"/>
    <m/>
    <m/>
    <s v="LUX"/>
    <n v="-25.64"/>
    <n v="0.17"/>
    <n v="-4.3588000000000005"/>
    <n v="-29.998800000000003"/>
    <n v="10691.463400000002"/>
    <x v="1"/>
    <x v="1"/>
    <m/>
    <x v="1"/>
    <m/>
    <x v="6"/>
    <s v="006-2025 - Invoice 2501657"/>
    <x v="5"/>
    <x v="1"/>
    <s v="Green Enerbras One SCSp"/>
    <x v="0"/>
    <s v="X"/>
  </r>
  <r>
    <d v="2025-05-19T00:00:00"/>
    <d v="2025-09-02T00:00:00"/>
    <n v="9"/>
    <x v="0"/>
    <n v="2025"/>
    <m/>
    <m/>
    <s v="LUX"/>
    <n v="-96.92"/>
    <n v="0.17"/>
    <n v="-16.476400000000002"/>
    <n v="-113.3964"/>
    <n v="10578.067000000003"/>
    <x v="1"/>
    <x v="1"/>
    <m/>
    <x v="1"/>
    <m/>
    <x v="6"/>
    <s v="007-2025 - Invoice 2501874"/>
    <x v="5"/>
    <x v="1"/>
    <s v="Green Enerbras One SCSp"/>
    <x v="0"/>
    <s v="X"/>
  </r>
  <r>
    <d v="2025-05-19T00:00:00"/>
    <d v="2025-09-02T00:00:00"/>
    <n v="9"/>
    <x v="0"/>
    <n v="2025"/>
    <m/>
    <m/>
    <s v="LUX"/>
    <n v="-60"/>
    <n v="0"/>
    <n v="0"/>
    <n v="-60"/>
    <n v="10518.067000000003"/>
    <x v="1"/>
    <x v="1"/>
    <m/>
    <x v="1"/>
    <m/>
    <x v="6"/>
    <s v="007-2025 - Invoice 2501874"/>
    <x v="5"/>
    <x v="1"/>
    <s v="Green Enerbras One SCSp"/>
    <x v="0"/>
    <s v="X"/>
  </r>
  <r>
    <d v="2025-07-22T00:00:00"/>
    <d v="2025-09-02T00:00:00"/>
    <n v="9"/>
    <x v="0"/>
    <n v="2025"/>
    <m/>
    <m/>
    <s v="LUX"/>
    <n v="-15"/>
    <n v="0.17"/>
    <n v="-2.5500000000000003"/>
    <n v="-17.55"/>
    <n v="10500.517000000003"/>
    <x v="1"/>
    <x v="1"/>
    <m/>
    <x v="1"/>
    <m/>
    <x v="4"/>
    <s v="008-2025"/>
    <x v="3"/>
    <x v="1"/>
    <s v="Green Enerbras One SCSp"/>
    <x v="0"/>
    <s v="X"/>
  </r>
  <r>
    <d v="2025-09-02T00:00:00"/>
    <d v="2025-09-02T00:00:00"/>
    <n v="9"/>
    <x v="0"/>
    <n v="2025"/>
    <m/>
    <m/>
    <s v="LUX"/>
    <n v="451.90000000000003"/>
    <n v="0.17"/>
    <n v="47.582999999999998"/>
    <n v="499.48300000000006"/>
    <n v="11000.000000000004"/>
    <x v="1"/>
    <x v="1"/>
    <m/>
    <x v="1"/>
    <m/>
    <x v="7"/>
    <m/>
    <x v="1"/>
    <x v="0"/>
    <s v="Green Enerbras One SCSp"/>
    <x v="0"/>
    <s v="X"/>
  </r>
  <r>
    <d v="2025-09-02T00:00:00"/>
    <d v="2025-09-02T00:00:00"/>
    <n v="9"/>
    <x v="0"/>
    <n v="2025"/>
    <m/>
    <m/>
    <s v="LUX"/>
    <n v="-451.90000000000003"/>
    <n v="0.17"/>
    <n v="-47.582999999999998"/>
    <n v="-499.48300000000006"/>
    <n v="10500.517000000003"/>
    <x v="1"/>
    <x v="1"/>
    <m/>
    <x v="1"/>
    <m/>
    <x v="7"/>
    <m/>
    <x v="1"/>
    <x v="0"/>
    <s v="Green Enerbras One SCSp"/>
    <x v="0"/>
    <s v="X"/>
  </r>
  <r>
    <d v="2025-09-09T00:00:00"/>
    <d v="2025-09-09T00:00:00"/>
    <n v="9"/>
    <x v="0"/>
    <n v="2025"/>
    <m/>
    <m/>
    <s v="LUX"/>
    <n v="10000"/>
    <m/>
    <m/>
    <n v="10000"/>
    <n v="20500.517000000003"/>
    <x v="0"/>
    <x v="0"/>
    <s v="A. CAPITAUX PROPRES"/>
    <x v="0"/>
    <m/>
    <x v="0"/>
    <m/>
    <x v="1"/>
    <x v="0"/>
    <s v="Tubia Edoardo"/>
    <x v="0"/>
    <m/>
  </r>
  <r>
    <d v="2025-09-29T00:00:00"/>
    <d v="2025-09-29T00:00:00"/>
    <n v="9"/>
    <x v="0"/>
    <n v="2025"/>
    <m/>
    <m/>
    <s v="LUX"/>
    <n v="20000"/>
    <m/>
    <m/>
    <n v="20000"/>
    <n v="40500.517000000007"/>
    <x v="0"/>
    <x v="0"/>
    <s v="A. CAPITAUX PROPRES"/>
    <x v="0"/>
    <m/>
    <x v="0"/>
    <m/>
    <x v="6"/>
    <x v="0"/>
    <s v="Tubia Silvia"/>
    <x v="0"/>
    <m/>
  </r>
  <r>
    <d v="2025-10-01T00:00:00"/>
    <d v="2025-10-01T00:00:00"/>
    <n v="10"/>
    <x v="0"/>
    <n v="2025"/>
    <m/>
    <m/>
    <s v="LUX"/>
    <n v="20000"/>
    <m/>
    <m/>
    <n v="20000"/>
    <n v="60500.517000000007"/>
    <x v="0"/>
    <x v="0"/>
    <s v="A. CAPITAUX PROPRES"/>
    <x v="0"/>
    <m/>
    <x v="0"/>
    <m/>
    <x v="1"/>
    <x v="0"/>
    <s v="Tubia Edoardo"/>
    <x v="0"/>
    <m/>
  </r>
  <r>
    <d v="2025-10-15T00:00:00"/>
    <d v="2025-10-15T00:00:00"/>
    <n v="10"/>
    <x v="0"/>
    <n v="2025"/>
    <m/>
    <m/>
    <s v="LUX"/>
    <n v="-250"/>
    <m/>
    <m/>
    <n v="-250"/>
    <n v="60250.517000000007"/>
    <x v="1"/>
    <x v="1"/>
    <m/>
    <x v="2"/>
    <m/>
    <x v="8"/>
    <m/>
    <x v="7"/>
    <x v="0"/>
    <s v="Green Enerbras One SCSp"/>
    <x v="0"/>
    <m/>
  </r>
  <r>
    <d v="2025-11-12T00:00:00"/>
    <d v="2025-11-12T00:00:00"/>
    <n v="11"/>
    <x v="0"/>
    <n v="2025"/>
    <n v="305240"/>
    <n v="6.1048"/>
    <s v="LUX"/>
    <n v="-50000"/>
    <m/>
    <m/>
    <n v="-50000"/>
    <n v="10250.517000000007"/>
    <x v="0"/>
    <x v="2"/>
    <s v="23 - IMMOBILISATIONS FINANCIERES"/>
    <x v="3"/>
    <m/>
    <x v="9"/>
    <m/>
    <x v="8"/>
    <x v="0"/>
    <s v="Green Enerbras One SCSp"/>
    <x v="0"/>
    <m/>
  </r>
  <r>
    <d v="2025-11-12T00:00:00"/>
    <d v="2025-11-12T00:00:00"/>
    <n v="11"/>
    <x v="0"/>
    <n v="2025"/>
    <m/>
    <m/>
    <s v="LUX"/>
    <n v="-5"/>
    <m/>
    <m/>
    <n v="-5"/>
    <n v="10245.517000000007"/>
    <x v="1"/>
    <x v="1"/>
    <m/>
    <x v="2"/>
    <m/>
    <x v="8"/>
    <m/>
    <x v="7"/>
    <x v="0"/>
    <s v="Green Enerbras One SCSp"/>
    <x v="0"/>
    <m/>
  </r>
  <r>
    <d v="2025-11-12T00:00:00"/>
    <d v="2025-11-12T00:00:00"/>
    <n v="11"/>
    <x v="0"/>
    <n v="2025"/>
    <m/>
    <m/>
    <s v="LUX"/>
    <n v="-4"/>
    <m/>
    <m/>
    <n v="-4"/>
    <n v="10241.517000000007"/>
    <x v="1"/>
    <x v="1"/>
    <m/>
    <x v="2"/>
    <m/>
    <x v="8"/>
    <m/>
    <x v="7"/>
    <x v="0"/>
    <s v="Green Enerbras One SCSp"/>
    <x v="0"/>
    <m/>
  </r>
  <r>
    <d v="2025-11-26T00:00:00"/>
    <d v="2025-11-26T00:00:00"/>
    <n v="11"/>
    <x v="0"/>
    <n v="2025"/>
    <m/>
    <m/>
    <s v="LUX"/>
    <n v="20000"/>
    <m/>
    <m/>
    <n v="20000"/>
    <n v="30241.517000000007"/>
    <x v="0"/>
    <x v="0"/>
    <s v="A. CAPITAUX PROPRES"/>
    <x v="0"/>
    <m/>
    <x v="0"/>
    <m/>
    <x v="9"/>
    <x v="0"/>
    <s v="Tubia Edoardo"/>
    <x v="0"/>
    <m/>
  </r>
  <r>
    <d v="2025-11-26T00:00:00"/>
    <d v="2025-11-26T00:00:00"/>
    <n v="11"/>
    <x v="0"/>
    <n v="2025"/>
    <m/>
    <m/>
    <s v="LUX"/>
    <n v="20000"/>
    <m/>
    <m/>
    <n v="20000"/>
    <n v="50241.517000000007"/>
    <x v="0"/>
    <x v="0"/>
    <s v="A. CAPITAUX PROPRES"/>
    <x v="0"/>
    <m/>
    <x v="0"/>
    <m/>
    <x v="10"/>
    <x v="0"/>
    <s v="Tubia Edoardo"/>
    <x v="0"/>
    <m/>
  </r>
  <r>
    <d v="2025-11-27T00:00:00"/>
    <d v="2025-11-27T00:00:00"/>
    <n v="11"/>
    <x v="0"/>
    <n v="2025"/>
    <m/>
    <m/>
    <s v="LUX"/>
    <n v="40000"/>
    <m/>
    <m/>
    <n v="40000"/>
    <n v="90241.517000000007"/>
    <x v="0"/>
    <x v="0"/>
    <s v="A. CAPITAUX PROPRES"/>
    <x v="0"/>
    <m/>
    <x v="0"/>
    <m/>
    <x v="11"/>
    <x v="0"/>
    <s v="Tubia Edoardo"/>
    <x v="0"/>
    <m/>
  </r>
  <r>
    <d v="2025-12-02T00:00:00"/>
    <d v="2025-12-02T00:00:00"/>
    <n v="12"/>
    <x v="0"/>
    <n v="2025"/>
    <n v="306246"/>
    <n v="6.1249200000000004"/>
    <s v="LUX"/>
    <n v="-50000"/>
    <m/>
    <m/>
    <n v="-50000"/>
    <n v="40241.517000000007"/>
    <x v="0"/>
    <x v="2"/>
    <s v="23 - IMMOBILISATIONS FINANCIERES"/>
    <x v="3"/>
    <m/>
    <x v="9"/>
    <m/>
    <x v="8"/>
    <x v="0"/>
    <s v="Green Enerbras One SCSp"/>
    <x v="0"/>
    <m/>
  </r>
  <r>
    <d v="2025-12-02T00:00:00"/>
    <d v="2025-12-02T00:00:00"/>
    <n v="12"/>
    <x v="0"/>
    <n v="2025"/>
    <m/>
    <m/>
    <s v="LUX"/>
    <n v="-5"/>
    <m/>
    <m/>
    <n v="-5"/>
    <n v="40236.517000000007"/>
    <x v="1"/>
    <x v="1"/>
    <m/>
    <x v="2"/>
    <m/>
    <x v="8"/>
    <m/>
    <x v="7"/>
    <x v="0"/>
    <s v="Green Enerbras One SCSp"/>
    <x v="0"/>
    <m/>
  </r>
  <r>
    <d v="2025-12-02T00:00:00"/>
    <d v="2025-12-02T00:00:00"/>
    <n v="12"/>
    <x v="0"/>
    <n v="2025"/>
    <m/>
    <m/>
    <s v="LUX"/>
    <n v="-4"/>
    <m/>
    <m/>
    <n v="-4"/>
    <n v="40232.517000000007"/>
    <x v="1"/>
    <x v="1"/>
    <m/>
    <x v="2"/>
    <m/>
    <x v="8"/>
    <m/>
    <x v="7"/>
    <x v="0"/>
    <s v="Green Enerbras One SCSp"/>
    <x v="0"/>
    <m/>
  </r>
  <r>
    <d v="2025-12-03T00:00:00"/>
    <d v="2025-12-03T00:00:00"/>
    <n v="12"/>
    <x v="0"/>
    <n v="2025"/>
    <m/>
    <m/>
    <s v="LUX"/>
    <n v="20000"/>
    <m/>
    <m/>
    <n v="20000"/>
    <n v="60232.517000000007"/>
    <x v="0"/>
    <x v="0"/>
    <s v="A. CAPITAUX PROPRES"/>
    <x v="0"/>
    <m/>
    <x v="0"/>
    <m/>
    <x v="12"/>
    <x v="0"/>
    <s v="Tubia Enrico"/>
    <x v="0"/>
    <m/>
  </r>
  <r>
    <d v="2025-12-09T00:00:00"/>
    <d v="2025-12-09T00:00:00"/>
    <n v="12"/>
    <x v="0"/>
    <n v="2025"/>
    <m/>
    <m/>
    <s v="LUX"/>
    <n v="20000"/>
    <m/>
    <m/>
    <n v="20000"/>
    <n v="80232.517000000007"/>
    <x v="0"/>
    <x v="0"/>
    <s v="A. CAPITAUX PROPRES"/>
    <x v="0"/>
    <m/>
    <x v="0"/>
    <m/>
    <x v="13"/>
    <x v="0"/>
    <s v="Zaniboni Elisa"/>
    <x v="0"/>
    <m/>
  </r>
  <r>
    <d v="2025-12-11T00:00:00"/>
    <d v="2025-12-11T00:00:00"/>
    <n v="12"/>
    <x v="0"/>
    <n v="2025"/>
    <m/>
    <m/>
    <s v="LUX"/>
    <n v="20000"/>
    <m/>
    <m/>
    <n v="20000"/>
    <n v="100232.51700000001"/>
    <x v="0"/>
    <x v="0"/>
    <s v="A. CAPITAUX PROPRES"/>
    <x v="0"/>
    <m/>
    <x v="0"/>
    <m/>
    <x v="14"/>
    <x v="0"/>
    <s v="Zaniboni Greta"/>
    <x v="0"/>
    <m/>
  </r>
  <r>
    <d v="2025-12-15T00:00:00"/>
    <d v="2025-12-15T00:00:00"/>
    <n v="12"/>
    <x v="0"/>
    <n v="2025"/>
    <n v="317841"/>
    <n v="6.3568199999999999"/>
    <s v="LUX"/>
    <n v="-50000"/>
    <m/>
    <m/>
    <n v="-50000"/>
    <n v="50232.517000000007"/>
    <x v="0"/>
    <x v="2"/>
    <s v="23 - IMMOBILISATIONS FINANCIERES"/>
    <x v="3"/>
    <m/>
    <x v="9"/>
    <m/>
    <x v="8"/>
    <x v="0"/>
    <s v="Green Enerbras One SCSp"/>
    <x v="0"/>
    <m/>
  </r>
  <r>
    <d v="2025-12-15T00:00:00"/>
    <d v="2025-12-15T00:00:00"/>
    <n v="12"/>
    <x v="0"/>
    <n v="2025"/>
    <m/>
    <m/>
    <s v="LUX"/>
    <n v="-5"/>
    <m/>
    <m/>
    <n v="-5"/>
    <n v="50227.517000000007"/>
    <x v="1"/>
    <x v="1"/>
    <m/>
    <x v="2"/>
    <m/>
    <x v="8"/>
    <m/>
    <x v="7"/>
    <x v="0"/>
    <s v="Green Enerbras One SCSp"/>
    <x v="0"/>
    <m/>
  </r>
  <r>
    <d v="2025-12-15T00:00:00"/>
    <d v="2025-12-15T00:00:00"/>
    <n v="12"/>
    <x v="0"/>
    <n v="2025"/>
    <m/>
    <m/>
    <s v="LUX"/>
    <n v="-4"/>
    <m/>
    <m/>
    <n v="-4"/>
    <n v="50223.517000000007"/>
    <x v="1"/>
    <x v="1"/>
    <m/>
    <x v="2"/>
    <m/>
    <x v="8"/>
    <m/>
    <x v="7"/>
    <x v="0"/>
    <s v="Green Enerbras One SCSp"/>
    <x v="0"/>
    <m/>
  </r>
  <r>
    <d v="2026-01-15T00:00:00"/>
    <d v="2026-01-15T00:00:00"/>
    <n v="1"/>
    <x v="1"/>
    <n v="2026"/>
    <m/>
    <m/>
    <s v="LUX"/>
    <n v="-250"/>
    <m/>
    <m/>
    <n v="-250"/>
    <n v="49973.517000000007"/>
    <x v="1"/>
    <x v="1"/>
    <m/>
    <x v="2"/>
    <m/>
    <x v="8"/>
    <m/>
    <x v="7"/>
    <x v="0"/>
    <s v="Green Enerbras One SCSp"/>
    <x v="0"/>
    <m/>
  </r>
  <r>
    <d v="2026-01-26T00:00:00"/>
    <d v="2026-01-26T00:00:00"/>
    <n v="1"/>
    <x v="1"/>
    <n v="2025"/>
    <m/>
    <m/>
    <s v="LUX"/>
    <n v="-341.88"/>
    <n v="0.17"/>
    <n v="-58.12"/>
    <n v="-400"/>
    <n v="49573.517000000007"/>
    <x v="1"/>
    <x v="1"/>
    <m/>
    <x v="4"/>
    <m/>
    <x v="10"/>
    <s v="New Life Sàrl 013/2026"/>
    <x v="0"/>
    <x v="1"/>
    <s v="Tubia Edoardo"/>
    <x v="0"/>
    <m/>
  </r>
  <r>
    <d v="2026-01-26T00:00:00"/>
    <d v="2026-01-26T00:00:00"/>
    <n v="1"/>
    <x v="1"/>
    <n v="2025"/>
    <m/>
    <m/>
    <s v="LUX"/>
    <n v="-341.88"/>
    <n v="0.17"/>
    <n v="-58.12"/>
    <n v="-400"/>
    <n v="49173.517000000007"/>
    <x v="1"/>
    <x v="1"/>
    <m/>
    <x v="4"/>
    <m/>
    <x v="10"/>
    <s v="New Life Sàrl 013/2026"/>
    <x v="0"/>
    <x v="1"/>
    <s v="Tubia Silvia"/>
    <x v="0"/>
    <m/>
  </r>
  <r>
    <d v="2026-01-26T00:00:00"/>
    <d v="2026-01-26T00:00:00"/>
    <n v="1"/>
    <x v="1"/>
    <n v="2025"/>
    <m/>
    <m/>
    <s v="LUX"/>
    <n v="-341.88"/>
    <n v="0.17"/>
    <n v="-58.12"/>
    <n v="-400"/>
    <n v="48773.517000000007"/>
    <x v="1"/>
    <x v="1"/>
    <m/>
    <x v="4"/>
    <m/>
    <x v="10"/>
    <s v="New Life Sàrl 013/2026"/>
    <x v="0"/>
    <x v="1"/>
    <s v="Tubia Edoardo"/>
    <x v="0"/>
    <m/>
  </r>
  <r>
    <d v="2026-01-26T00:00:00"/>
    <d v="2026-01-26T00:00:00"/>
    <n v="1"/>
    <x v="1"/>
    <n v="2025"/>
    <m/>
    <m/>
    <s v="LUX"/>
    <n v="-341.88"/>
    <n v="0.17"/>
    <n v="-58.12"/>
    <n v="-400"/>
    <n v="48373.517000000007"/>
    <x v="1"/>
    <x v="1"/>
    <m/>
    <x v="4"/>
    <m/>
    <x v="10"/>
    <s v="New Life Sàrl 013/2026"/>
    <x v="0"/>
    <x v="1"/>
    <s v="Bertozzi Stefano"/>
    <x v="0"/>
    <m/>
  </r>
  <r>
    <d v="2026-01-26T00:00:00"/>
    <d v="2026-01-26T00:00:00"/>
    <n v="1"/>
    <x v="1"/>
    <n v="2025"/>
    <m/>
    <m/>
    <s v="LUX"/>
    <n v="-341.88"/>
    <n v="0.17"/>
    <n v="-58.12"/>
    <n v="-400"/>
    <n v="47973.517000000007"/>
    <x v="1"/>
    <x v="1"/>
    <m/>
    <x v="4"/>
    <m/>
    <x v="10"/>
    <s v="New Life Sàrl 013/2026"/>
    <x v="0"/>
    <x v="1"/>
    <s v="De Miguel Bellvis Maria"/>
    <x v="0"/>
    <m/>
  </r>
  <r>
    <d v="2026-01-26T00:00:00"/>
    <d v="2026-01-26T00:00:00"/>
    <n v="1"/>
    <x v="1"/>
    <n v="2025"/>
    <m/>
    <m/>
    <s v="LUX"/>
    <n v="-683.76"/>
    <n v="0.17"/>
    <n v="-116.24"/>
    <n v="-800"/>
    <n v="47173.517000000007"/>
    <x v="1"/>
    <x v="1"/>
    <m/>
    <x v="4"/>
    <m/>
    <x v="10"/>
    <s v="New Life Sàrl 013/2026"/>
    <x v="0"/>
    <x v="1"/>
    <s v="Desiderio Salvatore"/>
    <x v="0"/>
    <m/>
  </r>
  <r>
    <d v="2026-01-26T00:00:00"/>
    <d v="2026-01-26T00:00:00"/>
    <n v="1"/>
    <x v="1"/>
    <n v="2025"/>
    <m/>
    <m/>
    <s v="LUX"/>
    <n v="-341.88"/>
    <n v="0.17"/>
    <n v="-58.12"/>
    <n v="-400"/>
    <n v="46773.517000000007"/>
    <x v="1"/>
    <x v="1"/>
    <m/>
    <x v="4"/>
    <m/>
    <x v="10"/>
    <s v="New Life Sàrl 013/2026"/>
    <x v="0"/>
    <x v="1"/>
    <s v="Tubia Enrico"/>
    <x v="0"/>
    <m/>
  </r>
  <r>
    <d v="2026-01-26T00:00:00"/>
    <d v="2026-01-26T00:00:00"/>
    <n v="1"/>
    <x v="1"/>
    <n v="2025"/>
    <m/>
    <m/>
    <s v="LUX"/>
    <n v="-341.88"/>
    <n v="0.17"/>
    <n v="-58.12"/>
    <n v="-400"/>
    <n v="46373.517000000007"/>
    <x v="1"/>
    <x v="1"/>
    <m/>
    <x v="4"/>
    <m/>
    <x v="10"/>
    <s v="New Life Sàrl 013/2026"/>
    <x v="0"/>
    <x v="1"/>
    <s v="Zaniboni Elisa"/>
    <x v="0"/>
    <m/>
  </r>
  <r>
    <d v="2026-01-26T00:00:00"/>
    <d v="2026-01-26T00:00:00"/>
    <n v="1"/>
    <x v="1"/>
    <n v="2025"/>
    <m/>
    <m/>
    <s v="LUX"/>
    <n v="-341.88"/>
    <n v="0.17"/>
    <n v="-58.12"/>
    <n v="-400"/>
    <n v="45973.517000000007"/>
    <x v="1"/>
    <x v="1"/>
    <m/>
    <x v="4"/>
    <m/>
    <x v="10"/>
    <s v="New Life Sàrl 013/2026"/>
    <x v="0"/>
    <x v="1"/>
    <s v="Zaniboni Greta"/>
    <x v="0"/>
    <m/>
  </r>
  <r>
    <d v="2026-01-26T00:00:00"/>
    <d v="2026-01-26T00:00:00"/>
    <n v="1"/>
    <x v="1"/>
    <n v="2025"/>
    <m/>
    <m/>
    <s v="LUX"/>
    <n v="3418.8"/>
    <n v="0.17"/>
    <n v="581.20000000000005"/>
    <n v="4000"/>
    <n v="49973.517000000007"/>
    <x v="1"/>
    <x v="1"/>
    <m/>
    <x v="4"/>
    <m/>
    <x v="10"/>
    <s v="New Life Sàrl 013/2026"/>
    <x v="0"/>
    <x v="1"/>
    <s v="NEW LIFE Sàrl"/>
    <x v="0"/>
    <m/>
  </r>
  <r>
    <d v="2026-01-26T00:00:00"/>
    <d v="2026-01-26T00:00:00"/>
    <n v="1"/>
    <x v="1"/>
    <n v="2025"/>
    <m/>
    <m/>
    <s v="LUX"/>
    <n v="-3418.8"/>
    <n v="0.17"/>
    <n v="-581.20000000000005"/>
    <n v="-4000"/>
    <n v="45973.517000000007"/>
    <x v="1"/>
    <x v="1"/>
    <m/>
    <x v="4"/>
    <m/>
    <x v="10"/>
    <s v="New Life Sàrl 013/2026"/>
    <x v="0"/>
    <x v="1"/>
    <s v="Green Enerbras One SCSp"/>
    <x v="0"/>
    <m/>
  </r>
  <r>
    <d v="2026-04-17T00:00:00"/>
    <d v="2026-04-17T00:00:00"/>
    <n v="4"/>
    <x v="1"/>
    <n v="2026"/>
    <m/>
    <m/>
    <s v="LUX"/>
    <n v="-250"/>
    <m/>
    <m/>
    <n v="-250"/>
    <n v="45723.517000000007"/>
    <x v="1"/>
    <x v="1"/>
    <m/>
    <x v="2"/>
    <m/>
    <x v="8"/>
    <m/>
    <x v="7"/>
    <x v="0"/>
    <s v="Green Enerbras One SCSp"/>
    <x v="0"/>
    <m/>
  </r>
  <r>
    <d v="2026-04-27T00:00:00"/>
    <d v="2026-04-27T00:00:00"/>
    <n v="4"/>
    <x v="1"/>
    <n v="2025"/>
    <m/>
    <m/>
    <s v="LUX"/>
    <n v="-15"/>
    <n v="0.17"/>
    <n v="-2.5500000000000003"/>
    <n v="-17.55"/>
    <n v="45705.967000000004"/>
    <x v="1"/>
    <x v="1"/>
    <m/>
    <x v="1"/>
    <m/>
    <x v="4"/>
    <s v="008-2025"/>
    <x v="3"/>
    <x v="1"/>
    <s v="Green Enerbras One SCSp"/>
    <x v="0"/>
    <s v="X"/>
  </r>
  <r>
    <d v="2026-04-27T00:00:00"/>
    <d v="2026-04-27T00:00:00"/>
    <n v="4"/>
    <x v="1"/>
    <n v="2025"/>
    <m/>
    <m/>
    <s v="LUX"/>
    <n v="15"/>
    <n v="0.17"/>
    <n v="2.5499999999999998"/>
    <n v="17.55"/>
    <n v="45723.517000000007"/>
    <x v="1"/>
    <x v="1"/>
    <m/>
    <x v="1"/>
    <m/>
    <x v="7"/>
    <m/>
    <x v="1"/>
    <x v="0"/>
    <s v="Green Enerbras One SCSp"/>
    <x v="0"/>
    <s v="X"/>
  </r>
  <r>
    <d v="2026-04-27T00:00:00"/>
    <d v="2026-04-27T00:00:00"/>
    <n v="4"/>
    <x v="1"/>
    <n v="2025"/>
    <m/>
    <m/>
    <s v="LUX"/>
    <n v="-15"/>
    <n v="0.17"/>
    <n v="-2.5499999999999998"/>
    <n v="-17.55"/>
    <n v="45705.967000000004"/>
    <x v="1"/>
    <x v="1"/>
    <m/>
    <x v="1"/>
    <m/>
    <x v="7"/>
    <m/>
    <x v="1"/>
    <x v="0"/>
    <s v="Green Enerbras One SCSp"/>
    <x v="0"/>
    <s v="X"/>
  </r>
  <r>
    <d v="2026-05-07T00:00:00"/>
    <d v="2026-05-07T00:00:00"/>
    <n v="5"/>
    <x v="1"/>
    <n v="2026"/>
    <n v="227258"/>
    <n v="5.6814499999999999"/>
    <s v="LUX"/>
    <n v="-40000"/>
    <m/>
    <m/>
    <n v="-40000"/>
    <n v="5705.9670000000042"/>
    <x v="0"/>
    <x v="2"/>
    <s v="23 - IMMOBILISATIONS FINANCIERES"/>
    <x v="3"/>
    <m/>
    <x v="9"/>
    <m/>
    <x v="8"/>
    <x v="0"/>
    <s v="Green Enerbras One SCSp"/>
    <x v="0"/>
    <m/>
  </r>
  <r>
    <d v="2026-05-07T00:00:00"/>
    <d v="2026-05-07T00:00:00"/>
    <n v="5"/>
    <x v="1"/>
    <n v="2026"/>
    <m/>
    <m/>
    <s v="LUX"/>
    <n v="-5"/>
    <m/>
    <m/>
    <n v="-5"/>
    <n v="5700.9670000000042"/>
    <x v="1"/>
    <x v="1"/>
    <m/>
    <x v="2"/>
    <m/>
    <x v="8"/>
    <m/>
    <x v="7"/>
    <x v="0"/>
    <s v="Green Enerbras One SCSp"/>
    <x v="0"/>
    <m/>
  </r>
  <r>
    <d v="2026-05-07T00:00:00"/>
    <d v="2026-05-07T00:00:00"/>
    <n v="5"/>
    <x v="1"/>
    <n v="2026"/>
    <m/>
    <m/>
    <s v="LUX"/>
    <n v="-4"/>
    <m/>
    <m/>
    <n v="-4"/>
    <n v="5696.9670000000042"/>
    <x v="1"/>
    <x v="1"/>
    <m/>
    <x v="2"/>
    <m/>
    <x v="8"/>
    <m/>
    <x v="7"/>
    <x v="0"/>
    <s v="Green Enerbras One SCSp"/>
    <x v="0"/>
    <m/>
  </r>
  <r>
    <d v="2026-07-17T00:00:00"/>
    <d v="2026-07-17T00:00:00"/>
    <n v="7"/>
    <x v="1"/>
    <n v="2026"/>
    <m/>
    <m/>
    <s v="LUX"/>
    <n v="40000"/>
    <m/>
    <m/>
    <n v="40000"/>
    <n v="45696.967000000004"/>
    <x v="0"/>
    <x v="0"/>
    <s v="A. CAPITAUX PROPRES"/>
    <x v="0"/>
    <m/>
    <x v="0"/>
    <m/>
    <x v="15"/>
    <x v="0"/>
    <s v="Sterzi Marco"/>
    <x v="0"/>
    <m/>
  </r>
  <r>
    <d v="2026-07-17T00:00:00"/>
    <d v="2026-07-17T00:00:00"/>
    <n v="7"/>
    <x v="1"/>
    <n v="2026"/>
    <m/>
    <m/>
    <s v="LUX"/>
    <n v="20000"/>
    <m/>
    <m/>
    <n v="20000"/>
    <n v="65696.967000000004"/>
    <x v="0"/>
    <x v="0"/>
    <s v="A. CAPITAUX PROPRES"/>
    <x v="0"/>
    <m/>
    <x v="0"/>
    <m/>
    <x v="16"/>
    <x v="0"/>
    <s v="Miletti Giovanni"/>
    <x v="0"/>
    <m/>
  </r>
  <r>
    <d v="2026-07-17T00:00:00"/>
    <d v="2026-07-17T00:00:00"/>
    <n v="7"/>
    <x v="1"/>
    <n v="2026"/>
    <m/>
    <m/>
    <s v="LUX"/>
    <n v="-683.76"/>
    <n v="0.17"/>
    <n v="-116.24"/>
    <n v="-800"/>
    <n v="64896.967000000004"/>
    <x v="1"/>
    <x v="1"/>
    <m/>
    <x v="4"/>
    <m/>
    <x v="10"/>
    <s v="New Life Sàrl 014/2026"/>
    <x v="0"/>
    <x v="1"/>
    <s v="Sterzi Marco"/>
    <x v="0"/>
    <m/>
  </r>
  <r>
    <d v="2026-07-17T00:00:00"/>
    <d v="2026-07-17T00:00:00"/>
    <n v="7"/>
    <x v="1"/>
    <n v="2026"/>
    <m/>
    <m/>
    <s v="LUX"/>
    <n v="-341.88"/>
    <n v="0.17"/>
    <n v="-58.12"/>
    <n v="-400"/>
    <n v="64496.967000000004"/>
    <x v="1"/>
    <x v="1"/>
    <m/>
    <x v="4"/>
    <m/>
    <x v="10"/>
    <s v="New Life Sàrl 014/2026"/>
    <x v="0"/>
    <x v="1"/>
    <s v="Miletti Giovanni"/>
    <x v="0"/>
    <m/>
  </r>
  <r>
    <d v="2026-07-17T00:00:00"/>
    <d v="2026-07-17T00:00:00"/>
    <n v="7"/>
    <x v="1"/>
    <n v="2026"/>
    <m/>
    <m/>
    <s v="LUX"/>
    <n v="1025.6399999999999"/>
    <n v="0.17"/>
    <n v="174.36"/>
    <n v="1200"/>
    <n v="65696.967000000004"/>
    <x v="1"/>
    <x v="1"/>
    <m/>
    <x v="4"/>
    <m/>
    <x v="10"/>
    <s v="New Life Sàrl 014/2026"/>
    <x v="0"/>
    <x v="1"/>
    <s v="NEW LIFE Sàrl"/>
    <x v="0"/>
    <m/>
  </r>
  <r>
    <d v="2026-07-17T00:00:00"/>
    <d v="2026-07-17T00:00:00"/>
    <n v="7"/>
    <x v="1"/>
    <n v="2026"/>
    <m/>
    <m/>
    <s v="LUX"/>
    <n v="-1025.6399999999999"/>
    <n v="0.17"/>
    <n v="-174.36"/>
    <n v="-1200"/>
    <n v="64496.967000000004"/>
    <x v="1"/>
    <x v="1"/>
    <m/>
    <x v="4"/>
    <m/>
    <x v="10"/>
    <s v="New Life Sàrl 014/2026"/>
    <x v="0"/>
    <x v="1"/>
    <s v="Green Enerbras One SCSp"/>
    <x v="0"/>
    <m/>
  </r>
  <r>
    <d v="2026-07-21T00:00:00"/>
    <d v="2026-07-21T00:00:00"/>
    <n v="7"/>
    <x v="1"/>
    <n v="2026"/>
    <m/>
    <m/>
    <s v="LUX"/>
    <n v="-250"/>
    <m/>
    <m/>
    <n v="-250"/>
    <n v="64246.967000000004"/>
    <x v="1"/>
    <x v="1"/>
    <m/>
    <x v="2"/>
    <m/>
    <x v="8"/>
    <m/>
    <x v="7"/>
    <x v="0"/>
    <s v="Green Enerbras One SCSp"/>
    <x v="0"/>
    <m/>
  </r>
  <r>
    <d v="2026-07-27T00:00:00"/>
    <d v="2026-07-27T00:00:00"/>
    <n v="7"/>
    <x v="1"/>
    <n v="2026"/>
    <n v="287356"/>
    <n v="5.7471199999999998"/>
    <s v="LUX"/>
    <n v="-50000"/>
    <m/>
    <m/>
    <n v="-50000"/>
    <n v="14246.967000000004"/>
    <x v="0"/>
    <x v="2"/>
    <s v="23 - IMMOBILISATIONS FINANCIERES"/>
    <x v="3"/>
    <m/>
    <x v="9"/>
    <m/>
    <x v="8"/>
    <x v="0"/>
    <s v="Green Enerbras One SCSp"/>
    <x v="0"/>
    <m/>
  </r>
  <r>
    <d v="2026-07-27T00:00:00"/>
    <d v="2026-07-27T00:00:00"/>
    <n v="7"/>
    <x v="1"/>
    <n v="2026"/>
    <m/>
    <m/>
    <s v="LUX"/>
    <n v="-25"/>
    <m/>
    <m/>
    <n v="-25"/>
    <n v="14221.967000000004"/>
    <x v="1"/>
    <x v="1"/>
    <m/>
    <x v="2"/>
    <m/>
    <x v="8"/>
    <m/>
    <x v="7"/>
    <x v="0"/>
    <s v="Green Enerbras One SCSp"/>
    <x v="0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m/>
    <x v="2"/>
    <m/>
    <n v="1443941"/>
    <n v="6.0164208333333331"/>
    <m/>
    <n v="-240000"/>
    <m/>
    <m/>
    <n v="14221.967000000004"/>
    <m/>
    <x v="2"/>
    <x v="3"/>
    <m/>
    <x v="4"/>
    <m/>
    <x v="11"/>
    <m/>
    <x v="17"/>
    <x v="1"/>
    <m/>
    <x v="1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s v=""/>
    <x v="3"/>
    <m/>
    <m/>
    <m/>
    <s v="LUX"/>
    <n v="0"/>
    <n v="0.17"/>
    <n v="0"/>
    <n v="0"/>
    <n v="0"/>
    <x v="1"/>
    <x v="1"/>
    <m/>
    <x v="1"/>
    <m/>
    <x v="4"/>
    <s v="009-2025"/>
    <x v="3"/>
    <x v="1"/>
    <s v="Green Enerbras One SCSp"/>
    <x v="2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D047A-570D-470B-9382-988FF7984165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5:D55" firstHeaderRow="1" firstDataRow="2" firstDataCol="1" rowPageCount="3" colPageCount="1"/>
  <pivotFields count="25">
    <pivotField subtotalTop="0" showAll="0" defaultSubtotal="0"/>
    <pivotField subtotalTop="0" showAll="0" defaultSubtotal="0"/>
    <pivotField subtotalTop="0" showAll="0" defaultSubtotal="0"/>
    <pivotField axis="axisCol" subtotalTop="0" showAll="0" sortType="ascending" defaultSubtotal="0">
      <items count="4">
        <item x="0"/>
        <item x="1"/>
        <item x="3"/>
        <item x="2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axis="axisPage" subtotalTop="0" multipleItemSelectionAllowed="1" showAll="0" defaultSubtotal="0">
      <items count="3">
        <item h="1" x="2"/>
        <item x="1"/>
        <item x="0"/>
      </items>
    </pivotField>
    <pivotField axis="axisRow" subtotalTop="0" showAll="0" defaultSubtotal="0">
      <items count="4">
        <item x="0"/>
        <item x="3"/>
        <item x="2"/>
        <item x="1"/>
      </items>
    </pivotField>
    <pivotField subtotalTop="0" showAll="0" defaultSubtotal="0"/>
    <pivotField axis="axisRow" subtotalTop="0" showAll="0" sortType="ascending" defaultSubtotal="0">
      <items count="5">
        <item x="3"/>
        <item x="2"/>
        <item x="1"/>
        <item x="0"/>
        <item x="4"/>
      </items>
    </pivotField>
    <pivotField subtotalTop="0" showAll="0" defaultSubtotal="0"/>
    <pivotField axis="axisRow" subtotalTop="0" showAll="0" defaultSubtotal="0">
      <items count="16">
        <item m="1" x="14"/>
        <item x="11"/>
        <item x="2"/>
        <item x="1"/>
        <item m="1" x="12"/>
        <item m="1" x="13"/>
        <item m="1" x="15"/>
        <item x="0"/>
        <item x="7"/>
        <item x="8"/>
        <item x="9"/>
        <item x="10"/>
        <item x="3"/>
        <item x="4"/>
        <item x="5"/>
        <item x="6"/>
      </items>
    </pivotField>
    <pivotField subtotalTop="0" showAll="0" defaultSubtotal="0"/>
    <pivotField axis="axisRow" subtotalTop="0" showAll="0" defaultSubtotal="0">
      <items count="20">
        <item x="7"/>
        <item x="9"/>
        <item x="10"/>
        <item x="11"/>
        <item m="1" x="19"/>
        <item m="1" x="18"/>
        <item x="5"/>
        <item x="3"/>
        <item x="2"/>
        <item x="8"/>
        <item x="1"/>
        <item x="12"/>
        <item x="6"/>
        <item x="17"/>
        <item x="13"/>
        <item x="14"/>
        <item x="0"/>
        <item x="4"/>
        <item x="15"/>
        <item x="16"/>
      </items>
    </pivotField>
    <pivotField axis="axisPage" subtotalTop="0" showAll="0" defaultSubtotal="0">
      <items count="2">
        <item x="1"/>
        <item x="0"/>
      </items>
    </pivotField>
    <pivotField subtotalTop="0" showAll="0" defaultSubtotal="0"/>
    <pivotField axis="axisPage" subtotalTop="0" showAll="0" defaultSubtotal="0">
      <items count="3">
        <item x="2"/>
        <item x="0"/>
        <item x="1"/>
      </items>
    </pivotField>
    <pivotField subtotalTop="0" showAll="0" defaultSubtotal="0"/>
  </pivotFields>
  <rowFields count="4">
    <field x="14"/>
    <field x="16"/>
    <field x="20"/>
    <field x="18"/>
  </rowFields>
  <rowItems count="49">
    <i>
      <x/>
    </i>
    <i r="1">
      <x v="3"/>
    </i>
    <i r="2">
      <x v="1"/>
    </i>
    <i r="3">
      <x v="7"/>
    </i>
    <i r="2">
      <x v="2"/>
    </i>
    <i r="3">
      <x v="7"/>
    </i>
    <i r="2">
      <x v="3"/>
    </i>
    <i r="3">
      <x v="7"/>
    </i>
    <i r="2">
      <x v="10"/>
    </i>
    <i r="3">
      <x v="7"/>
    </i>
    <i r="2">
      <x v="11"/>
    </i>
    <i r="3">
      <x v="7"/>
    </i>
    <i r="2">
      <x v="12"/>
    </i>
    <i r="3">
      <x v="7"/>
    </i>
    <i r="2">
      <x v="14"/>
    </i>
    <i r="3">
      <x v="7"/>
    </i>
    <i r="2">
      <x v="15"/>
    </i>
    <i r="3">
      <x v="7"/>
    </i>
    <i r="2">
      <x v="16"/>
    </i>
    <i r="3">
      <x v="7"/>
    </i>
    <i r="2">
      <x v="18"/>
    </i>
    <i r="3">
      <x v="7"/>
    </i>
    <i r="2">
      <x v="19"/>
    </i>
    <i r="3">
      <x v="7"/>
    </i>
    <i>
      <x v="2"/>
    </i>
    <i r="1">
      <x/>
    </i>
    <i r="2">
      <x v="9"/>
    </i>
    <i r="3">
      <x v="10"/>
    </i>
    <i>
      <x v="3"/>
    </i>
    <i r="1">
      <x v="1"/>
    </i>
    <i r="2">
      <x/>
    </i>
    <i r="3">
      <x v="9"/>
    </i>
    <i r="1">
      <x v="2"/>
    </i>
    <i r="2">
      <x v="6"/>
    </i>
    <i r="3">
      <x v="15"/>
    </i>
    <i r="2">
      <x v="7"/>
    </i>
    <i r="3">
      <x v="13"/>
    </i>
    <i r="2">
      <x v="8"/>
    </i>
    <i r="3">
      <x v="2"/>
    </i>
    <i r="3">
      <x v="3"/>
    </i>
    <i r="3">
      <x v="12"/>
    </i>
    <i r="2">
      <x v="10"/>
    </i>
    <i r="3">
      <x v="8"/>
    </i>
    <i r="2">
      <x v="17"/>
    </i>
    <i r="3">
      <x v="14"/>
    </i>
    <i r="1">
      <x v="4"/>
    </i>
    <i r="2">
      <x v="16"/>
    </i>
    <i r="3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3">
    <pageField fld="13" hier="-1"/>
    <pageField fld="21" hier="-1"/>
    <pageField fld="23" item="1" hier="-1"/>
  </pageFields>
  <dataFields count="1">
    <dataField name="Sum of Importo" fld="11" baseField="1" baseItem="64" numFmtId="8"/>
  </dataFields>
  <formats count="3">
    <format dxfId="3">
      <pivotArea field="14" type="button" dataOnly="0" labelOnly="1" outline="0" axis="axisRow" fieldPosition="0"/>
    </format>
    <format dxfId="2">
      <pivotArea dataOnly="0" labelOnly="1" fieldPosition="0">
        <references count="1">
          <reference field="3" count="1">
            <x v="0"/>
          </reference>
        </references>
      </pivotArea>
    </format>
    <format dxfId="1">
      <pivotArea dataOnly="0" labelOnly="1" grandCol="1" outline="0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82"/>
  <sheetViews>
    <sheetView tabSelected="1" topLeftCell="G1" workbookViewId="0">
      <pane ySplit="6" topLeftCell="A8" activePane="bottomLeft" state="frozen"/>
      <selection activeCell="L1" sqref="L1"/>
      <selection pane="bottomLeft" activeCell="L64" sqref="L64"/>
    </sheetView>
  </sheetViews>
  <sheetFormatPr defaultColWidth="9.140625" defaultRowHeight="12.75"/>
  <cols>
    <col min="1" max="1" width="2.7109375" style="15" customWidth="1"/>
    <col min="2" max="2" width="6.140625" style="14" customWidth="1"/>
    <col min="3" max="3" width="13.140625" style="14" customWidth="1"/>
    <col min="4" max="4" width="11.42578125" style="14" customWidth="1"/>
    <col min="5" max="5" width="6.7109375" style="14" customWidth="1"/>
    <col min="6" max="7" width="7.28515625" style="14" customWidth="1"/>
    <col min="8" max="8" width="10.28515625" style="14" customWidth="1"/>
    <col min="9" max="9" width="22" style="15" customWidth="1"/>
    <col min="10" max="10" width="39.5703125" style="15" customWidth="1"/>
    <col min="11" max="11" width="29.42578125" style="15" customWidth="1"/>
    <col min="12" max="12" width="29.140625" style="14" customWidth="1"/>
    <col min="13" max="13" width="31" style="14" customWidth="1"/>
    <col min="14" max="14" width="11" style="61" customWidth="1"/>
    <col min="15" max="15" width="12.85546875" style="14" customWidth="1"/>
    <col min="16" max="16" width="12" style="14" customWidth="1"/>
    <col min="17" max="17" width="13.28515625" style="16" customWidth="1"/>
    <col min="18" max="18" width="13.28515625" style="17" customWidth="1"/>
    <col min="19" max="19" width="4.42578125" style="15" customWidth="1"/>
    <col min="20" max="20" width="12.140625" style="18" customWidth="1"/>
    <col min="21" max="21" width="12.42578125" style="18" customWidth="1"/>
    <col min="22" max="22" width="9.7109375" style="15" bestFit="1" customWidth="1"/>
    <col min="23" max="16384" width="9.140625" style="15"/>
  </cols>
  <sheetData>
    <row r="1" spans="2:21" s="25" customFormat="1" ht="15.75">
      <c r="B1" s="24"/>
      <c r="C1" s="24"/>
      <c r="D1" s="24"/>
      <c r="E1" s="24"/>
      <c r="F1" s="24"/>
      <c r="G1" s="24"/>
      <c r="H1" s="24"/>
      <c r="K1" s="57" t="s">
        <v>81</v>
      </c>
      <c r="L1" s="26"/>
      <c r="M1" s="24"/>
      <c r="N1" s="58"/>
      <c r="O1" s="24"/>
      <c r="P1" s="24"/>
      <c r="Q1" s="27"/>
      <c r="R1" s="28"/>
      <c r="T1" s="29"/>
      <c r="U1" s="29"/>
    </row>
    <row r="2" spans="2:21" s="25" customFormat="1" ht="15.75">
      <c r="B2" s="24"/>
      <c r="C2" s="24"/>
      <c r="D2" s="30"/>
      <c r="E2" s="30"/>
      <c r="F2" s="30"/>
      <c r="G2" s="30"/>
      <c r="H2" s="30"/>
      <c r="I2" s="29"/>
      <c r="J2" s="63" t="s">
        <v>51</v>
      </c>
      <c r="K2" s="57" t="s">
        <v>19</v>
      </c>
      <c r="L2" s="64" t="s">
        <v>18</v>
      </c>
      <c r="M2" s="65" t="s">
        <v>79</v>
      </c>
      <c r="N2" s="59"/>
      <c r="O2" s="30"/>
      <c r="P2" s="30"/>
      <c r="Q2" s="27"/>
      <c r="R2" s="28"/>
      <c r="T2" s="29"/>
      <c r="U2" s="29"/>
    </row>
    <row r="3" spans="2:21" s="25" customFormat="1" ht="15.75">
      <c r="B3" s="24"/>
      <c r="C3" s="24"/>
      <c r="D3" s="24"/>
      <c r="E3" s="24"/>
      <c r="F3" s="24"/>
      <c r="G3" s="24"/>
      <c r="H3" s="24"/>
      <c r="I3" s="29"/>
      <c r="J3" s="29"/>
      <c r="K3" s="57" t="s">
        <v>60</v>
      </c>
      <c r="L3" s="64" t="s">
        <v>20</v>
      </c>
      <c r="M3" s="65" t="s">
        <v>80</v>
      </c>
      <c r="N3" s="58"/>
      <c r="O3" s="24"/>
      <c r="P3" s="24"/>
      <c r="Q3" s="27"/>
      <c r="R3" s="28"/>
      <c r="T3" s="29"/>
      <c r="U3" s="29"/>
    </row>
    <row r="4" spans="2:21" s="25" customFormat="1" ht="15.75">
      <c r="B4" s="24"/>
      <c r="C4" s="24"/>
      <c r="D4" s="24"/>
      <c r="E4" s="24"/>
      <c r="F4" s="24"/>
      <c r="G4" s="24"/>
      <c r="H4" s="24"/>
      <c r="I4" s="29"/>
      <c r="J4" s="29"/>
      <c r="K4" s="34"/>
      <c r="L4" s="64" t="s">
        <v>85</v>
      </c>
      <c r="M4" s="65" t="s">
        <v>86</v>
      </c>
      <c r="N4" s="58"/>
      <c r="O4" s="24"/>
      <c r="P4" s="24"/>
      <c r="Q4" s="27"/>
      <c r="R4" s="28"/>
      <c r="T4" s="29"/>
      <c r="U4" s="29"/>
    </row>
    <row r="5" spans="2:21" s="25" customFormat="1">
      <c r="B5" s="24"/>
      <c r="C5" s="24"/>
      <c r="D5" s="24"/>
      <c r="E5" s="24"/>
      <c r="F5" s="24"/>
      <c r="G5" s="24"/>
      <c r="H5" s="24"/>
      <c r="I5" s="30"/>
      <c r="J5" s="30" t="s">
        <v>21</v>
      </c>
      <c r="K5" s="29"/>
      <c r="L5" s="26"/>
      <c r="M5" s="24"/>
      <c r="N5" s="58"/>
      <c r="O5" s="24"/>
      <c r="P5" s="49">
        <v>0.17</v>
      </c>
      <c r="Q5" s="189" t="s">
        <v>22</v>
      </c>
      <c r="R5" s="190"/>
      <c r="T5" s="29"/>
      <c r="U5" s="29"/>
    </row>
    <row r="6" spans="2:21" s="26" customFormat="1" ht="25.5">
      <c r="B6" s="103" t="s">
        <v>23</v>
      </c>
      <c r="C6" s="101" t="s">
        <v>25</v>
      </c>
      <c r="D6" s="101" t="s">
        <v>26</v>
      </c>
      <c r="E6" s="101" t="s">
        <v>139</v>
      </c>
      <c r="F6" s="101" t="s">
        <v>140</v>
      </c>
      <c r="G6" s="101" t="s">
        <v>180</v>
      </c>
      <c r="H6" s="101" t="s">
        <v>92</v>
      </c>
      <c r="I6" s="101" t="s">
        <v>65</v>
      </c>
      <c r="J6" s="101" t="s">
        <v>24</v>
      </c>
      <c r="K6" s="101" t="s">
        <v>13</v>
      </c>
      <c r="L6" s="101" t="s">
        <v>53</v>
      </c>
      <c r="M6" s="101" t="s">
        <v>32</v>
      </c>
      <c r="N6" s="102" t="s">
        <v>189</v>
      </c>
      <c r="O6" s="104" t="s">
        <v>59</v>
      </c>
      <c r="P6" s="104" t="s">
        <v>35</v>
      </c>
      <c r="Q6" s="104" t="s">
        <v>27</v>
      </c>
      <c r="R6" s="105" t="s">
        <v>28</v>
      </c>
    </row>
    <row r="7" spans="2:21" s="25" customFormat="1">
      <c r="B7" s="31">
        <v>1</v>
      </c>
      <c r="C7" s="32"/>
      <c r="D7" s="32"/>
      <c r="E7" s="32"/>
      <c r="F7" s="32"/>
      <c r="G7" s="32"/>
      <c r="H7" s="32"/>
      <c r="I7" s="25" t="s">
        <v>29</v>
      </c>
      <c r="L7" s="24"/>
      <c r="M7" s="24"/>
      <c r="N7" s="58"/>
      <c r="O7" s="27">
        <v>0</v>
      </c>
      <c r="P7" s="27">
        <v>0</v>
      </c>
      <c r="Q7" s="27">
        <f>O7+P7</f>
        <v>0</v>
      </c>
      <c r="R7" s="33">
        <f>Q7</f>
        <v>0</v>
      </c>
    </row>
    <row r="8" spans="2:21" s="25" customFormat="1" ht="15">
      <c r="B8" s="31">
        <f>B7+1</f>
        <v>2</v>
      </c>
      <c r="C8" s="32">
        <v>45898</v>
      </c>
      <c r="D8" s="32">
        <v>45898</v>
      </c>
      <c r="E8" s="9">
        <f>IF(C8="","",MONTH(C8))</f>
        <v>8</v>
      </c>
      <c r="F8" s="9">
        <f>IF(C8="","",YEAR(C8))</f>
        <v>2025</v>
      </c>
      <c r="G8" s="9">
        <v>2025</v>
      </c>
      <c r="H8" s="32" t="s">
        <v>91</v>
      </c>
      <c r="I8" s="25" t="s">
        <v>56</v>
      </c>
      <c r="J8" s="25" t="s">
        <v>58</v>
      </c>
      <c r="K8" s="25" t="s">
        <v>194</v>
      </c>
      <c r="L8" s="34" t="s">
        <v>218</v>
      </c>
      <c r="M8" s="25" t="s">
        <v>51</v>
      </c>
      <c r="N8" s="58"/>
      <c r="O8" s="27">
        <v>1000</v>
      </c>
      <c r="P8" s="27">
        <v>0</v>
      </c>
      <c r="Q8" s="27">
        <f>O8+P8</f>
        <v>1000</v>
      </c>
      <c r="R8" s="35">
        <f>R7+Q8</f>
        <v>1000</v>
      </c>
      <c r="U8" s="36"/>
    </row>
    <row r="9" spans="2:21" s="25" customFormat="1" ht="15">
      <c r="B9" s="31">
        <f t="shared" ref="B9:B68" si="0">B8+1</f>
        <v>3</v>
      </c>
      <c r="C9" s="32">
        <v>45901</v>
      </c>
      <c r="D9" s="32">
        <v>45901</v>
      </c>
      <c r="E9" s="9">
        <f t="shared" ref="E9:E37" si="1">IF(C9="","",MONTH(C9))</f>
        <v>9</v>
      </c>
      <c r="F9" s="9">
        <f t="shared" ref="F9:F37" si="2">IF(C9="","",YEAR(C9))</f>
        <v>2025</v>
      </c>
      <c r="G9" s="9">
        <v>2025</v>
      </c>
      <c r="H9" s="32" t="s">
        <v>91</v>
      </c>
      <c r="I9" s="25" t="s">
        <v>56</v>
      </c>
      <c r="J9" s="25" t="s">
        <v>58</v>
      </c>
      <c r="K9" s="25" t="s">
        <v>30</v>
      </c>
      <c r="L9" s="34" t="s">
        <v>30</v>
      </c>
      <c r="M9" s="25" t="s">
        <v>51</v>
      </c>
      <c r="N9" s="58"/>
      <c r="O9" s="27">
        <v>10000</v>
      </c>
      <c r="P9" s="27">
        <v>0</v>
      </c>
      <c r="Q9" s="27">
        <f>O9+P9</f>
        <v>10000</v>
      </c>
      <c r="R9" s="35">
        <f t="shared" ref="R9:R28" si="3">R8+Q9</f>
        <v>11000</v>
      </c>
      <c r="U9" s="36"/>
    </row>
    <row r="10" spans="2:21" s="25" customFormat="1" ht="15">
      <c r="B10" s="31">
        <f t="shared" si="0"/>
        <v>4</v>
      </c>
      <c r="C10" s="32">
        <v>45747</v>
      </c>
      <c r="D10" s="32">
        <v>45902</v>
      </c>
      <c r="E10" s="9">
        <f t="shared" si="1"/>
        <v>3</v>
      </c>
      <c r="F10" s="9">
        <f t="shared" si="2"/>
        <v>2025</v>
      </c>
      <c r="G10" s="9">
        <v>2025</v>
      </c>
      <c r="H10" s="32" t="s">
        <v>91</v>
      </c>
      <c r="I10" s="25" t="s">
        <v>57</v>
      </c>
      <c r="J10" s="25" t="s">
        <v>62</v>
      </c>
      <c r="K10" s="25" t="s">
        <v>51</v>
      </c>
      <c r="L10" s="34"/>
      <c r="M10" s="47" t="s">
        <v>55</v>
      </c>
      <c r="N10" s="58" t="s">
        <v>141</v>
      </c>
      <c r="O10" s="27">
        <v>-105.91</v>
      </c>
      <c r="P10" s="27">
        <f>O10*$P$5</f>
        <v>-18.0047</v>
      </c>
      <c r="Q10" s="27">
        <f t="shared" ref="Q10:Q14" si="4">O10+P10</f>
        <v>-123.9147</v>
      </c>
      <c r="R10" s="35">
        <f t="shared" si="3"/>
        <v>10876.085300000001</v>
      </c>
      <c r="U10" s="36"/>
    </row>
    <row r="11" spans="2:21" s="25" customFormat="1" ht="15">
      <c r="B11" s="31">
        <f t="shared" si="0"/>
        <v>5</v>
      </c>
      <c r="C11" s="32">
        <v>45747</v>
      </c>
      <c r="D11" s="32">
        <v>45902</v>
      </c>
      <c r="E11" s="9">
        <f t="shared" si="1"/>
        <v>3</v>
      </c>
      <c r="F11" s="9">
        <f t="shared" si="2"/>
        <v>2025</v>
      </c>
      <c r="G11" s="9">
        <v>2025</v>
      </c>
      <c r="H11" s="32" t="s">
        <v>91</v>
      </c>
      <c r="I11" s="25" t="s">
        <v>57</v>
      </c>
      <c r="J11" s="25" t="s">
        <v>54</v>
      </c>
      <c r="K11" s="25" t="s">
        <v>51</v>
      </c>
      <c r="L11" s="34"/>
      <c r="M11" s="47" t="s">
        <v>55</v>
      </c>
      <c r="N11" s="58" t="s">
        <v>141</v>
      </c>
      <c r="O11" s="27">
        <v>-12</v>
      </c>
      <c r="P11" s="27">
        <v>0</v>
      </c>
      <c r="Q11" s="27">
        <f t="shared" si="4"/>
        <v>-12</v>
      </c>
      <c r="R11" s="35">
        <f t="shared" si="3"/>
        <v>10864.085300000001</v>
      </c>
      <c r="U11" s="36"/>
    </row>
    <row r="12" spans="2:21" s="25" customFormat="1" ht="15">
      <c r="B12" s="31">
        <f t="shared" si="0"/>
        <v>6</v>
      </c>
      <c r="C12" s="32">
        <v>45754</v>
      </c>
      <c r="D12" s="32">
        <v>45902</v>
      </c>
      <c r="E12" s="9">
        <f t="shared" si="1"/>
        <v>4</v>
      </c>
      <c r="F12" s="9">
        <f t="shared" si="2"/>
        <v>2025</v>
      </c>
      <c r="G12" s="9">
        <v>2025</v>
      </c>
      <c r="H12" s="32" t="s">
        <v>91</v>
      </c>
      <c r="I12" s="25" t="s">
        <v>57</v>
      </c>
      <c r="J12" s="25" t="s">
        <v>200</v>
      </c>
      <c r="K12" s="25" t="s">
        <v>51</v>
      </c>
      <c r="L12" s="34"/>
      <c r="M12" s="47" t="s">
        <v>55</v>
      </c>
      <c r="N12" s="58" t="s">
        <v>143</v>
      </c>
      <c r="O12" s="27">
        <v>-21.43</v>
      </c>
      <c r="P12" s="27">
        <f>O12*$P$5</f>
        <v>-3.6431</v>
      </c>
      <c r="Q12" s="27">
        <f t="shared" si="4"/>
        <v>-25.0731</v>
      </c>
      <c r="R12" s="35">
        <f t="shared" si="3"/>
        <v>10839.012200000001</v>
      </c>
      <c r="U12" s="36"/>
    </row>
    <row r="13" spans="2:21" s="25" customFormat="1" ht="15">
      <c r="B13" s="31">
        <f t="shared" si="0"/>
        <v>7</v>
      </c>
      <c r="C13" s="32">
        <v>45754</v>
      </c>
      <c r="D13" s="32">
        <v>45902</v>
      </c>
      <c r="E13" s="9">
        <f t="shared" si="1"/>
        <v>4</v>
      </c>
      <c r="F13" s="9">
        <f t="shared" si="2"/>
        <v>2025</v>
      </c>
      <c r="G13" s="9">
        <v>2025</v>
      </c>
      <c r="H13" s="32" t="s">
        <v>91</v>
      </c>
      <c r="I13" s="25" t="s">
        <v>57</v>
      </c>
      <c r="J13" s="25" t="s">
        <v>196</v>
      </c>
      <c r="K13" s="25" t="s">
        <v>51</v>
      </c>
      <c r="L13" s="34"/>
      <c r="M13" s="47" t="s">
        <v>55</v>
      </c>
      <c r="N13" s="58" t="s">
        <v>146</v>
      </c>
      <c r="O13" s="27">
        <v>-15</v>
      </c>
      <c r="P13" s="27">
        <f>O13*$P$5</f>
        <v>-2.5500000000000003</v>
      </c>
      <c r="Q13" s="27">
        <f t="shared" ref="Q13" si="5">O13+P13</f>
        <v>-17.55</v>
      </c>
      <c r="R13" s="35">
        <f t="shared" si="3"/>
        <v>10821.462200000002</v>
      </c>
      <c r="U13" s="36"/>
    </row>
    <row r="14" spans="2:21" s="25" customFormat="1" ht="15">
      <c r="B14" s="31">
        <f t="shared" si="0"/>
        <v>8</v>
      </c>
      <c r="C14" s="32">
        <v>45754</v>
      </c>
      <c r="D14" s="32">
        <v>45902</v>
      </c>
      <c r="E14" s="9">
        <f t="shared" si="1"/>
        <v>4</v>
      </c>
      <c r="F14" s="9">
        <f t="shared" si="2"/>
        <v>2025</v>
      </c>
      <c r="G14" s="9">
        <v>2025</v>
      </c>
      <c r="H14" s="32" t="s">
        <v>91</v>
      </c>
      <c r="I14" s="25" t="s">
        <v>57</v>
      </c>
      <c r="J14" s="25" t="s">
        <v>201</v>
      </c>
      <c r="K14" s="25" t="s">
        <v>51</v>
      </c>
      <c r="L14" s="34"/>
      <c r="M14" s="47" t="s">
        <v>206</v>
      </c>
      <c r="N14" s="58" t="s">
        <v>147</v>
      </c>
      <c r="O14" s="27">
        <v>-60</v>
      </c>
      <c r="P14" s="27">
        <v>0</v>
      </c>
      <c r="Q14" s="27">
        <f t="shared" si="4"/>
        <v>-60</v>
      </c>
      <c r="R14" s="35">
        <f t="shared" si="3"/>
        <v>10761.462200000002</v>
      </c>
      <c r="U14" s="36"/>
    </row>
    <row r="15" spans="2:21" s="25" customFormat="1" ht="15">
      <c r="B15" s="31">
        <f t="shared" si="0"/>
        <v>9</v>
      </c>
      <c r="C15" s="32">
        <v>45755</v>
      </c>
      <c r="D15" s="32">
        <v>45902</v>
      </c>
      <c r="E15" s="9">
        <f t="shared" si="1"/>
        <v>4</v>
      </c>
      <c r="F15" s="9">
        <f t="shared" si="2"/>
        <v>2025</v>
      </c>
      <c r="G15" s="9">
        <v>2025</v>
      </c>
      <c r="H15" s="32" t="s">
        <v>91</v>
      </c>
      <c r="I15" s="25" t="s">
        <v>57</v>
      </c>
      <c r="J15" s="25" t="s">
        <v>63</v>
      </c>
      <c r="K15" s="25" t="s">
        <v>51</v>
      </c>
      <c r="L15" s="34"/>
      <c r="M15" s="47" t="s">
        <v>206</v>
      </c>
      <c r="N15" s="58" t="s">
        <v>142</v>
      </c>
      <c r="O15" s="27">
        <v>-40</v>
      </c>
      <c r="P15" s="27">
        <v>0</v>
      </c>
      <c r="Q15" s="27">
        <f t="shared" ref="Q15" si="6">O15+P15</f>
        <v>-40</v>
      </c>
      <c r="R15" s="35">
        <f t="shared" si="3"/>
        <v>10721.462200000002</v>
      </c>
      <c r="U15" s="36"/>
    </row>
    <row r="16" spans="2:21" s="25" customFormat="1" ht="15">
      <c r="B16" s="31">
        <f t="shared" si="0"/>
        <v>10</v>
      </c>
      <c r="C16" s="32">
        <v>45779</v>
      </c>
      <c r="D16" s="32">
        <v>45902</v>
      </c>
      <c r="E16" s="9">
        <f t="shared" si="1"/>
        <v>5</v>
      </c>
      <c r="F16" s="9">
        <f t="shared" si="2"/>
        <v>2025</v>
      </c>
      <c r="G16" s="9">
        <v>2025</v>
      </c>
      <c r="H16" s="32" t="s">
        <v>91</v>
      </c>
      <c r="I16" s="25" t="s">
        <v>57</v>
      </c>
      <c r="J16" s="25" t="s">
        <v>202</v>
      </c>
      <c r="K16" s="25" t="s">
        <v>51</v>
      </c>
      <c r="L16" s="34"/>
      <c r="M16" s="47" t="s">
        <v>33</v>
      </c>
      <c r="N16" s="58" t="s">
        <v>144</v>
      </c>
      <c r="O16" s="27">
        <v>-25.64</v>
      </c>
      <c r="P16" s="27">
        <f>O16*$P$5</f>
        <v>-4.3588000000000005</v>
      </c>
      <c r="Q16" s="27">
        <f t="shared" ref="Q16:Q17" si="7">O16+P16</f>
        <v>-29.998800000000003</v>
      </c>
      <c r="R16" s="35">
        <f t="shared" si="3"/>
        <v>10691.463400000002</v>
      </c>
      <c r="U16" s="36"/>
    </row>
    <row r="17" spans="2:21" s="25" customFormat="1" ht="15">
      <c r="B17" s="31">
        <f t="shared" si="0"/>
        <v>11</v>
      </c>
      <c r="C17" s="32">
        <v>45796</v>
      </c>
      <c r="D17" s="32">
        <v>45902</v>
      </c>
      <c r="E17" s="9">
        <f t="shared" si="1"/>
        <v>5</v>
      </c>
      <c r="F17" s="9">
        <f t="shared" si="2"/>
        <v>2025</v>
      </c>
      <c r="G17" s="9">
        <v>2025</v>
      </c>
      <c r="H17" s="32" t="s">
        <v>91</v>
      </c>
      <c r="I17" s="25" t="s">
        <v>57</v>
      </c>
      <c r="J17" s="25" t="s">
        <v>202</v>
      </c>
      <c r="K17" s="25" t="s">
        <v>51</v>
      </c>
      <c r="L17" s="34"/>
      <c r="M17" s="47" t="s">
        <v>33</v>
      </c>
      <c r="N17" s="58" t="s">
        <v>145</v>
      </c>
      <c r="O17" s="27">
        <v>-60</v>
      </c>
      <c r="P17" s="27">
        <v>0</v>
      </c>
      <c r="Q17" s="27">
        <f t="shared" si="7"/>
        <v>-60</v>
      </c>
      <c r="R17" s="35">
        <f t="shared" si="3"/>
        <v>10631.463400000002</v>
      </c>
      <c r="U17" s="36"/>
    </row>
    <row r="18" spans="2:21" s="25" customFormat="1" ht="15">
      <c r="B18" s="31">
        <f t="shared" si="0"/>
        <v>12</v>
      </c>
      <c r="C18" s="32">
        <v>45796</v>
      </c>
      <c r="D18" s="32">
        <v>45902</v>
      </c>
      <c r="E18" s="9">
        <f t="shared" si="1"/>
        <v>5</v>
      </c>
      <c r="F18" s="9">
        <f t="shared" si="2"/>
        <v>2025</v>
      </c>
      <c r="G18" s="9">
        <v>2025</v>
      </c>
      <c r="H18" s="32" t="s">
        <v>91</v>
      </c>
      <c r="I18" s="25" t="s">
        <v>57</v>
      </c>
      <c r="J18" s="25" t="s">
        <v>202</v>
      </c>
      <c r="K18" s="25" t="s">
        <v>51</v>
      </c>
      <c r="L18" s="34"/>
      <c r="M18" s="47" t="s">
        <v>33</v>
      </c>
      <c r="N18" s="58" t="s">
        <v>145</v>
      </c>
      <c r="O18" s="27">
        <v>-96.92</v>
      </c>
      <c r="P18" s="27">
        <f>O18*$P$5</f>
        <v>-16.476400000000002</v>
      </c>
      <c r="Q18" s="27">
        <f t="shared" ref="Q18:Q19" si="8">O18+P18</f>
        <v>-113.3964</v>
      </c>
      <c r="R18" s="35">
        <f t="shared" si="3"/>
        <v>10518.067000000003</v>
      </c>
      <c r="U18" s="36"/>
    </row>
    <row r="19" spans="2:21" s="25" customFormat="1" ht="15">
      <c r="B19" s="31">
        <f t="shared" si="0"/>
        <v>13</v>
      </c>
      <c r="C19" s="32">
        <v>45854</v>
      </c>
      <c r="D19" s="32">
        <v>45902</v>
      </c>
      <c r="E19" s="9">
        <f t="shared" si="1"/>
        <v>7</v>
      </c>
      <c r="F19" s="9">
        <f t="shared" si="2"/>
        <v>2025</v>
      </c>
      <c r="G19" s="9">
        <v>2025</v>
      </c>
      <c r="H19" s="32" t="s">
        <v>91</v>
      </c>
      <c r="I19" s="25" t="s">
        <v>57</v>
      </c>
      <c r="J19" s="25" t="s">
        <v>196</v>
      </c>
      <c r="K19" s="25" t="s">
        <v>51</v>
      </c>
      <c r="L19" s="34"/>
      <c r="M19" s="47" t="s">
        <v>55</v>
      </c>
      <c r="N19" s="58" t="s">
        <v>148</v>
      </c>
      <c r="O19" s="27">
        <v>-15</v>
      </c>
      <c r="P19" s="27">
        <f>O19*$P$5</f>
        <v>-2.5500000000000003</v>
      </c>
      <c r="Q19" s="27">
        <f t="shared" si="8"/>
        <v>-17.55</v>
      </c>
      <c r="R19" s="35">
        <f t="shared" si="3"/>
        <v>10500.517000000003</v>
      </c>
      <c r="U19" s="36"/>
    </row>
    <row r="20" spans="2:21" s="25" customFormat="1" ht="15">
      <c r="B20" s="31">
        <f t="shared" si="0"/>
        <v>14</v>
      </c>
      <c r="C20" s="32">
        <v>45902</v>
      </c>
      <c r="D20" s="32">
        <v>45902</v>
      </c>
      <c r="E20" s="9">
        <f t="shared" si="1"/>
        <v>9</v>
      </c>
      <c r="F20" s="9">
        <f t="shared" si="2"/>
        <v>2025</v>
      </c>
      <c r="G20" s="9">
        <v>2025</v>
      </c>
      <c r="H20" s="32" t="s">
        <v>91</v>
      </c>
      <c r="I20" s="25" t="s">
        <v>57</v>
      </c>
      <c r="J20" s="25" t="s">
        <v>195</v>
      </c>
      <c r="K20" s="25" t="s">
        <v>30</v>
      </c>
      <c r="L20" s="34"/>
      <c r="M20" s="47" t="s">
        <v>51</v>
      </c>
      <c r="N20" s="58"/>
      <c r="O20" s="27">
        <v>451.9</v>
      </c>
      <c r="P20" s="27">
        <f>-SUM(P10:P19)</f>
        <v>47.582999999999998</v>
      </c>
      <c r="Q20" s="27">
        <f>-SUM(Q10:Q19)</f>
        <v>499.483</v>
      </c>
      <c r="R20" s="35">
        <f t="shared" si="3"/>
        <v>11000.000000000004</v>
      </c>
      <c r="U20" s="36"/>
    </row>
    <row r="21" spans="2:21" s="25" customFormat="1" ht="15">
      <c r="B21" s="31">
        <f t="shared" si="0"/>
        <v>15</v>
      </c>
      <c r="C21" s="32">
        <v>45902</v>
      </c>
      <c r="D21" s="32">
        <v>45902</v>
      </c>
      <c r="E21" s="9">
        <f t="shared" si="1"/>
        <v>9</v>
      </c>
      <c r="F21" s="9">
        <f t="shared" si="2"/>
        <v>2025</v>
      </c>
      <c r="G21" s="9">
        <v>2025</v>
      </c>
      <c r="H21" s="32" t="s">
        <v>91</v>
      </c>
      <c r="I21" s="25" t="s">
        <v>57</v>
      </c>
      <c r="J21" s="25" t="s">
        <v>83</v>
      </c>
      <c r="K21" s="25" t="s">
        <v>51</v>
      </c>
      <c r="L21" s="34"/>
      <c r="M21" s="47" t="s">
        <v>30</v>
      </c>
      <c r="N21" s="58"/>
      <c r="O21" s="27">
        <f>-O20</f>
        <v>-451.9</v>
      </c>
      <c r="P21" s="27">
        <f t="shared" ref="P21:Q21" si="9">-P20</f>
        <v>-47.582999999999998</v>
      </c>
      <c r="Q21" s="27">
        <f t="shared" si="9"/>
        <v>-499.483</v>
      </c>
      <c r="R21" s="35">
        <f t="shared" si="3"/>
        <v>10500.517000000003</v>
      </c>
      <c r="U21" s="36"/>
    </row>
    <row r="22" spans="2:21" s="25" customFormat="1" ht="15">
      <c r="B22" s="31">
        <f t="shared" si="0"/>
        <v>16</v>
      </c>
      <c r="C22" s="32">
        <v>45909</v>
      </c>
      <c r="D22" s="32">
        <v>45909</v>
      </c>
      <c r="E22" s="9">
        <f t="shared" si="1"/>
        <v>9</v>
      </c>
      <c r="F22" s="9">
        <f t="shared" si="2"/>
        <v>2025</v>
      </c>
      <c r="G22" s="9">
        <v>2025</v>
      </c>
      <c r="H22" s="32" t="s">
        <v>91</v>
      </c>
      <c r="I22" s="25" t="s">
        <v>56</v>
      </c>
      <c r="J22" s="25" t="s">
        <v>58</v>
      </c>
      <c r="K22" s="25" t="s">
        <v>30</v>
      </c>
      <c r="L22" s="34" t="s">
        <v>30</v>
      </c>
      <c r="M22" s="25" t="s">
        <v>51</v>
      </c>
      <c r="N22" s="58"/>
      <c r="O22" s="27">
        <v>10000</v>
      </c>
      <c r="P22" s="27">
        <v>0</v>
      </c>
      <c r="Q22" s="27">
        <f t="shared" ref="Q22:Q28" si="10">O22+P22</f>
        <v>10000</v>
      </c>
      <c r="R22" s="35">
        <f t="shared" si="3"/>
        <v>20500.517000000003</v>
      </c>
      <c r="U22" s="36"/>
    </row>
    <row r="23" spans="2:21" s="25" customFormat="1" ht="15">
      <c r="B23" s="31">
        <f t="shared" si="0"/>
        <v>17</v>
      </c>
      <c r="C23" s="32">
        <v>45929</v>
      </c>
      <c r="D23" s="32">
        <v>45929</v>
      </c>
      <c r="E23" s="9">
        <f t="shared" si="1"/>
        <v>9</v>
      </c>
      <c r="F23" s="9">
        <f t="shared" si="2"/>
        <v>2025</v>
      </c>
      <c r="G23" s="9">
        <v>2025</v>
      </c>
      <c r="H23" s="32" t="s">
        <v>87</v>
      </c>
      <c r="I23" s="25" t="s">
        <v>56</v>
      </c>
      <c r="J23" s="25" t="s">
        <v>58</v>
      </c>
      <c r="K23" s="25" t="s">
        <v>31</v>
      </c>
      <c r="L23" s="34" t="s">
        <v>31</v>
      </c>
      <c r="M23" s="25" t="s">
        <v>51</v>
      </c>
      <c r="N23" s="58"/>
      <c r="O23" s="27">
        <v>20000</v>
      </c>
      <c r="P23" s="27">
        <v>0</v>
      </c>
      <c r="Q23" s="27">
        <f t="shared" si="10"/>
        <v>20000</v>
      </c>
      <c r="R23" s="35">
        <f t="shared" si="3"/>
        <v>40500.517000000007</v>
      </c>
      <c r="U23" s="36"/>
    </row>
    <row r="24" spans="2:21" s="25" customFormat="1" ht="15">
      <c r="B24" s="31">
        <f t="shared" si="0"/>
        <v>18</v>
      </c>
      <c r="C24" s="32">
        <v>45931</v>
      </c>
      <c r="D24" s="32">
        <v>45931</v>
      </c>
      <c r="E24" s="9">
        <f t="shared" si="1"/>
        <v>10</v>
      </c>
      <c r="F24" s="9">
        <f t="shared" si="2"/>
        <v>2025</v>
      </c>
      <c r="G24" s="9">
        <v>2025</v>
      </c>
      <c r="H24" s="32" t="s">
        <v>91</v>
      </c>
      <c r="I24" s="25" t="s">
        <v>56</v>
      </c>
      <c r="J24" s="25" t="s">
        <v>58</v>
      </c>
      <c r="K24" s="25" t="s">
        <v>30</v>
      </c>
      <c r="L24" s="34" t="s">
        <v>30</v>
      </c>
      <c r="M24" s="25" t="s">
        <v>51</v>
      </c>
      <c r="N24" s="58"/>
      <c r="O24" s="27">
        <v>20000</v>
      </c>
      <c r="P24" s="27">
        <v>0</v>
      </c>
      <c r="Q24" s="27">
        <f t="shared" si="10"/>
        <v>20000</v>
      </c>
      <c r="R24" s="35">
        <f t="shared" si="3"/>
        <v>60500.517000000007</v>
      </c>
      <c r="U24" s="36"/>
    </row>
    <row r="25" spans="2:21" s="25" customFormat="1" ht="15">
      <c r="B25" s="31">
        <f t="shared" si="0"/>
        <v>19</v>
      </c>
      <c r="C25" s="32">
        <v>45945</v>
      </c>
      <c r="D25" s="32">
        <v>45945</v>
      </c>
      <c r="E25" s="9">
        <f t="shared" si="1"/>
        <v>10</v>
      </c>
      <c r="F25" s="9">
        <f t="shared" si="2"/>
        <v>2025</v>
      </c>
      <c r="G25" s="9">
        <v>2025</v>
      </c>
      <c r="H25" s="32" t="s">
        <v>91</v>
      </c>
      <c r="I25" s="25" t="s">
        <v>93</v>
      </c>
      <c r="J25" s="25" t="s">
        <v>94</v>
      </c>
      <c r="K25" s="25" t="s">
        <v>51</v>
      </c>
      <c r="L25" s="34"/>
      <c r="M25" s="47" t="s">
        <v>95</v>
      </c>
      <c r="N25" s="58"/>
      <c r="O25" s="27">
        <v>-250</v>
      </c>
      <c r="P25" s="27">
        <v>0</v>
      </c>
      <c r="Q25" s="27">
        <f t="shared" si="10"/>
        <v>-250</v>
      </c>
      <c r="R25" s="35">
        <f t="shared" si="3"/>
        <v>60250.517000000007</v>
      </c>
      <c r="U25" s="36"/>
    </row>
    <row r="26" spans="2:21" s="25" customFormat="1" ht="15">
      <c r="B26" s="31">
        <f t="shared" si="0"/>
        <v>20</v>
      </c>
      <c r="C26" s="32">
        <v>45973</v>
      </c>
      <c r="D26" s="32">
        <v>45973</v>
      </c>
      <c r="E26" s="9">
        <f t="shared" si="1"/>
        <v>11</v>
      </c>
      <c r="F26" s="9">
        <f t="shared" si="2"/>
        <v>2025</v>
      </c>
      <c r="G26" s="9">
        <v>2025</v>
      </c>
      <c r="H26" s="32" t="s">
        <v>91</v>
      </c>
      <c r="I26" s="25" t="s">
        <v>105</v>
      </c>
      <c r="J26" s="25" t="s">
        <v>97</v>
      </c>
      <c r="K26" s="25" t="s">
        <v>51</v>
      </c>
      <c r="L26" s="34"/>
      <c r="M26" s="47" t="s">
        <v>98</v>
      </c>
      <c r="N26" s="58"/>
      <c r="O26" s="27">
        <v>-50000</v>
      </c>
      <c r="P26" s="27">
        <v>0</v>
      </c>
      <c r="Q26" s="27">
        <f t="shared" si="10"/>
        <v>-50000</v>
      </c>
      <c r="R26" s="35">
        <f t="shared" si="3"/>
        <v>10250.517000000007</v>
      </c>
      <c r="U26" s="36"/>
    </row>
    <row r="27" spans="2:21" s="25" customFormat="1" ht="15">
      <c r="B27" s="31">
        <f t="shared" si="0"/>
        <v>21</v>
      </c>
      <c r="C27" s="32">
        <v>45973</v>
      </c>
      <c r="D27" s="32">
        <v>45973</v>
      </c>
      <c r="E27" s="9">
        <f t="shared" si="1"/>
        <v>11</v>
      </c>
      <c r="F27" s="9">
        <f t="shared" si="2"/>
        <v>2025</v>
      </c>
      <c r="G27" s="9">
        <v>2025</v>
      </c>
      <c r="H27" s="32" t="s">
        <v>91</v>
      </c>
      <c r="I27" s="25" t="s">
        <v>93</v>
      </c>
      <c r="J27" s="25" t="s">
        <v>99</v>
      </c>
      <c r="K27" s="25" t="s">
        <v>51</v>
      </c>
      <c r="L27" s="34"/>
      <c r="M27" s="47" t="s">
        <v>95</v>
      </c>
      <c r="N27" s="58"/>
      <c r="O27" s="27">
        <v>-5</v>
      </c>
      <c r="P27" s="27">
        <v>0</v>
      </c>
      <c r="Q27" s="27">
        <f t="shared" si="10"/>
        <v>-5</v>
      </c>
      <c r="R27" s="35">
        <f t="shared" si="3"/>
        <v>10245.517000000007</v>
      </c>
      <c r="U27" s="36"/>
    </row>
    <row r="28" spans="2:21" s="25" customFormat="1" ht="15">
      <c r="B28" s="31">
        <f t="shared" si="0"/>
        <v>22</v>
      </c>
      <c r="C28" s="32">
        <v>45973</v>
      </c>
      <c r="D28" s="32">
        <v>45973</v>
      </c>
      <c r="E28" s="9">
        <f t="shared" si="1"/>
        <v>11</v>
      </c>
      <c r="F28" s="9">
        <f t="shared" si="2"/>
        <v>2025</v>
      </c>
      <c r="G28" s="9">
        <v>2025</v>
      </c>
      <c r="H28" s="32" t="s">
        <v>91</v>
      </c>
      <c r="I28" s="25" t="s">
        <v>93</v>
      </c>
      <c r="J28" s="25" t="s">
        <v>99</v>
      </c>
      <c r="K28" s="25" t="s">
        <v>51</v>
      </c>
      <c r="L28" s="34"/>
      <c r="M28" s="47" t="s">
        <v>95</v>
      </c>
      <c r="N28" s="58"/>
      <c r="O28" s="27">
        <v>-4</v>
      </c>
      <c r="P28" s="27">
        <v>0</v>
      </c>
      <c r="Q28" s="27">
        <f t="shared" si="10"/>
        <v>-4</v>
      </c>
      <c r="R28" s="35">
        <f t="shared" si="3"/>
        <v>10241.517000000007</v>
      </c>
      <c r="U28" s="36"/>
    </row>
    <row r="29" spans="2:21" s="25" customFormat="1" ht="15">
      <c r="B29" s="31">
        <f t="shared" si="0"/>
        <v>23</v>
      </c>
      <c r="C29" s="32">
        <v>45987</v>
      </c>
      <c r="D29" s="32">
        <v>45987</v>
      </c>
      <c r="E29" s="9">
        <f t="shared" si="1"/>
        <v>11</v>
      </c>
      <c r="F29" s="9">
        <f t="shared" si="2"/>
        <v>2025</v>
      </c>
      <c r="G29" s="9">
        <v>2025</v>
      </c>
      <c r="H29" s="32" t="s">
        <v>91</v>
      </c>
      <c r="I29" s="25" t="s">
        <v>56</v>
      </c>
      <c r="J29" s="25" t="s">
        <v>58</v>
      </c>
      <c r="K29" s="47" t="s">
        <v>119</v>
      </c>
      <c r="L29" s="34" t="s">
        <v>119</v>
      </c>
      <c r="M29" s="25" t="s">
        <v>51</v>
      </c>
      <c r="N29" s="58"/>
      <c r="O29" s="27">
        <v>20000</v>
      </c>
      <c r="P29" s="27">
        <v>0</v>
      </c>
      <c r="Q29" s="27">
        <f t="shared" ref="Q29:Q34" si="11">O29+P29</f>
        <v>20000</v>
      </c>
      <c r="R29" s="35">
        <f t="shared" ref="R29:R70" si="12">R28+Q29</f>
        <v>30241.517000000007</v>
      </c>
      <c r="U29" s="36"/>
    </row>
    <row r="30" spans="2:21" s="25" customFormat="1" ht="15">
      <c r="B30" s="31">
        <f t="shared" si="0"/>
        <v>24</v>
      </c>
      <c r="C30" s="32">
        <v>45987</v>
      </c>
      <c r="D30" s="32">
        <v>45987</v>
      </c>
      <c r="E30" s="9">
        <f t="shared" si="1"/>
        <v>11</v>
      </c>
      <c r="F30" s="9">
        <f t="shared" si="2"/>
        <v>2025</v>
      </c>
      <c r="G30" s="9">
        <v>2025</v>
      </c>
      <c r="H30" s="32" t="s">
        <v>91</v>
      </c>
      <c r="I30" s="25" t="s">
        <v>56</v>
      </c>
      <c r="J30" s="25" t="s">
        <v>58</v>
      </c>
      <c r="K30" s="47" t="s">
        <v>120</v>
      </c>
      <c r="L30" s="34" t="s">
        <v>120</v>
      </c>
      <c r="M30" s="25" t="s">
        <v>51</v>
      </c>
      <c r="N30" s="58"/>
      <c r="O30" s="27">
        <v>20000</v>
      </c>
      <c r="P30" s="27">
        <v>0</v>
      </c>
      <c r="Q30" s="27">
        <f t="shared" si="11"/>
        <v>20000</v>
      </c>
      <c r="R30" s="35">
        <f t="shared" si="12"/>
        <v>50241.517000000007</v>
      </c>
      <c r="U30" s="36"/>
    </row>
    <row r="31" spans="2:21" s="25" customFormat="1" ht="15">
      <c r="B31" s="31">
        <f t="shared" si="0"/>
        <v>25</v>
      </c>
      <c r="C31" s="32">
        <v>45988</v>
      </c>
      <c r="D31" s="32">
        <v>45988</v>
      </c>
      <c r="E31" s="9">
        <f t="shared" si="1"/>
        <v>11</v>
      </c>
      <c r="F31" s="9">
        <f t="shared" si="2"/>
        <v>2025</v>
      </c>
      <c r="G31" s="9">
        <v>2025</v>
      </c>
      <c r="H31" s="32" t="s">
        <v>91</v>
      </c>
      <c r="I31" s="25" t="s">
        <v>56</v>
      </c>
      <c r="J31" s="25" t="s">
        <v>58</v>
      </c>
      <c r="K31" s="47" t="s">
        <v>121</v>
      </c>
      <c r="L31" s="34" t="s">
        <v>121</v>
      </c>
      <c r="M31" s="25" t="s">
        <v>51</v>
      </c>
      <c r="N31" s="58"/>
      <c r="O31" s="27">
        <v>40000</v>
      </c>
      <c r="P31" s="27">
        <v>0</v>
      </c>
      <c r="Q31" s="27">
        <f t="shared" si="11"/>
        <v>40000</v>
      </c>
      <c r="R31" s="35">
        <f t="shared" si="12"/>
        <v>90241.517000000007</v>
      </c>
      <c r="U31" s="36"/>
    </row>
    <row r="32" spans="2:21" s="25" customFormat="1" ht="15">
      <c r="B32" s="31">
        <f t="shared" si="0"/>
        <v>26</v>
      </c>
      <c r="C32" s="32">
        <v>45993</v>
      </c>
      <c r="D32" s="32">
        <v>45993</v>
      </c>
      <c r="E32" s="9">
        <f t="shared" si="1"/>
        <v>12</v>
      </c>
      <c r="F32" s="9">
        <f t="shared" si="2"/>
        <v>2025</v>
      </c>
      <c r="G32" s="9">
        <v>2025</v>
      </c>
      <c r="H32" s="32" t="s">
        <v>91</v>
      </c>
      <c r="I32" s="25" t="s">
        <v>105</v>
      </c>
      <c r="J32" s="25" t="s">
        <v>97</v>
      </c>
      <c r="K32" s="25" t="s">
        <v>51</v>
      </c>
      <c r="L32" s="34"/>
      <c r="M32" s="47" t="s">
        <v>98</v>
      </c>
      <c r="N32" s="58"/>
      <c r="O32" s="27">
        <v>-50000</v>
      </c>
      <c r="P32" s="27">
        <v>0</v>
      </c>
      <c r="Q32" s="27">
        <f t="shared" si="11"/>
        <v>-50000</v>
      </c>
      <c r="R32" s="35">
        <f t="shared" si="12"/>
        <v>40241.517000000007</v>
      </c>
      <c r="U32" s="36"/>
    </row>
    <row r="33" spans="2:21" s="25" customFormat="1" ht="15">
      <c r="B33" s="31">
        <f t="shared" si="0"/>
        <v>27</v>
      </c>
      <c r="C33" s="32">
        <v>45993</v>
      </c>
      <c r="D33" s="32">
        <v>45993</v>
      </c>
      <c r="E33" s="9">
        <f t="shared" si="1"/>
        <v>12</v>
      </c>
      <c r="F33" s="9">
        <f t="shared" si="2"/>
        <v>2025</v>
      </c>
      <c r="G33" s="9">
        <v>2025</v>
      </c>
      <c r="H33" s="32" t="s">
        <v>91</v>
      </c>
      <c r="I33" s="25" t="s">
        <v>93</v>
      </c>
      <c r="J33" s="25" t="s">
        <v>99</v>
      </c>
      <c r="K33" s="25" t="s">
        <v>51</v>
      </c>
      <c r="L33" s="34"/>
      <c r="M33" s="47" t="s">
        <v>95</v>
      </c>
      <c r="N33" s="58"/>
      <c r="O33" s="27">
        <v>-5</v>
      </c>
      <c r="P33" s="27">
        <v>0</v>
      </c>
      <c r="Q33" s="27">
        <f t="shared" si="11"/>
        <v>-5</v>
      </c>
      <c r="R33" s="35">
        <f t="shared" si="12"/>
        <v>40236.517000000007</v>
      </c>
      <c r="U33" s="36"/>
    </row>
    <row r="34" spans="2:21" s="25" customFormat="1" ht="15">
      <c r="B34" s="31">
        <f t="shared" si="0"/>
        <v>28</v>
      </c>
      <c r="C34" s="32">
        <v>45993</v>
      </c>
      <c r="D34" s="32">
        <v>45993</v>
      </c>
      <c r="E34" s="9">
        <f t="shared" si="1"/>
        <v>12</v>
      </c>
      <c r="F34" s="9">
        <f t="shared" si="2"/>
        <v>2025</v>
      </c>
      <c r="G34" s="9">
        <v>2025</v>
      </c>
      <c r="H34" s="32" t="s">
        <v>91</v>
      </c>
      <c r="I34" s="25" t="s">
        <v>93</v>
      </c>
      <c r="J34" s="25" t="s">
        <v>99</v>
      </c>
      <c r="K34" s="25" t="s">
        <v>51</v>
      </c>
      <c r="L34" s="34"/>
      <c r="M34" s="47" t="s">
        <v>95</v>
      </c>
      <c r="N34" s="58"/>
      <c r="O34" s="27">
        <v>-4</v>
      </c>
      <c r="P34" s="27">
        <v>0</v>
      </c>
      <c r="Q34" s="27">
        <f t="shared" si="11"/>
        <v>-4</v>
      </c>
      <c r="R34" s="35">
        <f t="shared" si="12"/>
        <v>40232.517000000007</v>
      </c>
      <c r="U34" s="36"/>
    </row>
    <row r="35" spans="2:21" s="25" customFormat="1" ht="15">
      <c r="B35" s="31">
        <f t="shared" si="0"/>
        <v>29</v>
      </c>
      <c r="C35" s="32">
        <v>45994</v>
      </c>
      <c r="D35" s="32">
        <v>45994</v>
      </c>
      <c r="E35" s="9">
        <f t="shared" si="1"/>
        <v>12</v>
      </c>
      <c r="F35" s="9">
        <f t="shared" si="2"/>
        <v>2025</v>
      </c>
      <c r="G35" s="9">
        <v>2025</v>
      </c>
      <c r="H35" s="32" t="s">
        <v>91</v>
      </c>
      <c r="I35" s="25" t="s">
        <v>56</v>
      </c>
      <c r="J35" s="25" t="s">
        <v>58</v>
      </c>
      <c r="K35" s="25" t="s">
        <v>127</v>
      </c>
      <c r="L35" s="34" t="s">
        <v>127</v>
      </c>
      <c r="M35" s="25" t="s">
        <v>51</v>
      </c>
      <c r="N35" s="58"/>
      <c r="O35" s="27">
        <v>20000</v>
      </c>
      <c r="P35" s="27">
        <v>0</v>
      </c>
      <c r="Q35" s="27">
        <f t="shared" ref="Q35" si="13">O35+P35</f>
        <v>20000</v>
      </c>
      <c r="R35" s="35">
        <f t="shared" si="12"/>
        <v>60232.517000000007</v>
      </c>
      <c r="U35" s="36"/>
    </row>
    <row r="36" spans="2:21" s="25" customFormat="1" ht="15">
      <c r="B36" s="31">
        <f t="shared" si="0"/>
        <v>30</v>
      </c>
      <c r="C36" s="32">
        <v>46000</v>
      </c>
      <c r="D36" s="32">
        <v>46000</v>
      </c>
      <c r="E36" s="9">
        <f t="shared" si="1"/>
        <v>12</v>
      </c>
      <c r="F36" s="9">
        <f t="shared" si="2"/>
        <v>2025</v>
      </c>
      <c r="G36" s="9">
        <v>2025</v>
      </c>
      <c r="H36" s="32" t="s">
        <v>91</v>
      </c>
      <c r="I36" s="25" t="s">
        <v>56</v>
      </c>
      <c r="J36" s="25" t="s">
        <v>58</v>
      </c>
      <c r="K36" s="25" t="s">
        <v>128</v>
      </c>
      <c r="L36" s="34" t="s">
        <v>128</v>
      </c>
      <c r="M36" s="25" t="s">
        <v>51</v>
      </c>
      <c r="N36" s="58"/>
      <c r="O36" s="27">
        <v>20000</v>
      </c>
      <c r="P36" s="27">
        <v>0</v>
      </c>
      <c r="Q36" s="27">
        <f t="shared" ref="Q36" si="14">O36+P36</f>
        <v>20000</v>
      </c>
      <c r="R36" s="35">
        <f t="shared" si="12"/>
        <v>80232.517000000007</v>
      </c>
      <c r="U36" s="36"/>
    </row>
    <row r="37" spans="2:21" s="25" customFormat="1" ht="15">
      <c r="B37" s="31">
        <f t="shared" si="0"/>
        <v>31</v>
      </c>
      <c r="C37" s="32">
        <v>46002</v>
      </c>
      <c r="D37" s="32">
        <v>46002</v>
      </c>
      <c r="E37" s="9">
        <f t="shared" si="1"/>
        <v>12</v>
      </c>
      <c r="F37" s="9">
        <f t="shared" si="2"/>
        <v>2025</v>
      </c>
      <c r="G37" s="9">
        <v>2025</v>
      </c>
      <c r="H37" s="32" t="s">
        <v>91</v>
      </c>
      <c r="I37" s="25" t="s">
        <v>56</v>
      </c>
      <c r="J37" s="25" t="s">
        <v>58</v>
      </c>
      <c r="K37" s="25" t="s">
        <v>129</v>
      </c>
      <c r="L37" s="34" t="s">
        <v>129</v>
      </c>
      <c r="M37" s="25" t="s">
        <v>51</v>
      </c>
      <c r="N37" s="58"/>
      <c r="O37" s="27">
        <v>20000</v>
      </c>
      <c r="P37" s="27">
        <v>0</v>
      </c>
      <c r="Q37" s="27">
        <f t="shared" ref="Q37:Q41" si="15">O37+P37</f>
        <v>20000</v>
      </c>
      <c r="R37" s="35">
        <f t="shared" si="12"/>
        <v>100232.51700000001</v>
      </c>
      <c r="U37" s="36"/>
    </row>
    <row r="38" spans="2:21" s="25" customFormat="1" ht="15">
      <c r="B38" s="31">
        <f t="shared" si="0"/>
        <v>32</v>
      </c>
      <c r="C38" s="32">
        <v>46006</v>
      </c>
      <c r="D38" s="32">
        <v>46006</v>
      </c>
      <c r="E38" s="9">
        <f t="shared" ref="E38:E41" si="16">IF(C38="","",MONTH(C38))</f>
        <v>12</v>
      </c>
      <c r="F38" s="9">
        <f t="shared" ref="F38:F41" si="17">IF(C38="","",YEAR(C38))</f>
        <v>2025</v>
      </c>
      <c r="G38" s="9">
        <v>2025</v>
      </c>
      <c r="H38" s="32" t="s">
        <v>91</v>
      </c>
      <c r="I38" s="25" t="s">
        <v>105</v>
      </c>
      <c r="J38" s="25" t="s">
        <v>97</v>
      </c>
      <c r="K38" s="25" t="s">
        <v>51</v>
      </c>
      <c r="L38" s="34"/>
      <c r="M38" s="47" t="s">
        <v>98</v>
      </c>
      <c r="N38" s="58"/>
      <c r="O38" s="27">
        <v>-50000</v>
      </c>
      <c r="P38" s="27">
        <v>0</v>
      </c>
      <c r="Q38" s="27">
        <f t="shared" si="15"/>
        <v>-50000</v>
      </c>
      <c r="R38" s="35">
        <f t="shared" si="12"/>
        <v>50232.517000000007</v>
      </c>
      <c r="U38" s="36"/>
    </row>
    <row r="39" spans="2:21" s="25" customFormat="1" ht="15">
      <c r="B39" s="31">
        <f t="shared" si="0"/>
        <v>33</v>
      </c>
      <c r="C39" s="32">
        <v>46006</v>
      </c>
      <c r="D39" s="32">
        <v>46006</v>
      </c>
      <c r="E39" s="9">
        <f t="shared" si="16"/>
        <v>12</v>
      </c>
      <c r="F39" s="9">
        <f t="shared" si="17"/>
        <v>2025</v>
      </c>
      <c r="G39" s="9">
        <v>2025</v>
      </c>
      <c r="H39" s="32" t="s">
        <v>91</v>
      </c>
      <c r="I39" s="25" t="s">
        <v>93</v>
      </c>
      <c r="J39" s="25" t="s">
        <v>99</v>
      </c>
      <c r="K39" s="25" t="s">
        <v>51</v>
      </c>
      <c r="L39" s="34"/>
      <c r="M39" s="47" t="s">
        <v>95</v>
      </c>
      <c r="N39" s="58"/>
      <c r="O39" s="27">
        <v>-5</v>
      </c>
      <c r="P39" s="27">
        <v>0</v>
      </c>
      <c r="Q39" s="27">
        <f t="shared" si="15"/>
        <v>-5</v>
      </c>
      <c r="R39" s="35">
        <f t="shared" si="12"/>
        <v>50227.517000000007</v>
      </c>
      <c r="U39" s="36"/>
    </row>
    <row r="40" spans="2:21" s="25" customFormat="1" ht="15">
      <c r="B40" s="148">
        <f t="shared" si="0"/>
        <v>34</v>
      </c>
      <c r="C40" s="149">
        <v>46006</v>
      </c>
      <c r="D40" s="149">
        <v>46006</v>
      </c>
      <c r="E40" s="122">
        <f t="shared" si="16"/>
        <v>12</v>
      </c>
      <c r="F40" s="122">
        <f t="shared" si="17"/>
        <v>2025</v>
      </c>
      <c r="G40" s="122">
        <v>2025</v>
      </c>
      <c r="H40" s="149" t="s">
        <v>91</v>
      </c>
      <c r="I40" s="150" t="s">
        <v>93</v>
      </c>
      <c r="J40" s="150" t="s">
        <v>99</v>
      </c>
      <c r="K40" s="150" t="s">
        <v>51</v>
      </c>
      <c r="L40" s="151"/>
      <c r="M40" s="152" t="s">
        <v>95</v>
      </c>
      <c r="N40" s="153"/>
      <c r="O40" s="71">
        <v>-4</v>
      </c>
      <c r="P40" s="71">
        <v>0</v>
      </c>
      <c r="Q40" s="71">
        <f t="shared" si="15"/>
        <v>-4</v>
      </c>
      <c r="R40" s="154">
        <f t="shared" si="12"/>
        <v>50223.517000000007</v>
      </c>
      <c r="U40" s="36"/>
    </row>
    <row r="41" spans="2:21" s="25" customFormat="1" ht="15">
      <c r="B41" s="31">
        <f t="shared" si="0"/>
        <v>35</v>
      </c>
      <c r="C41" s="32">
        <v>46037</v>
      </c>
      <c r="D41" s="32">
        <v>46037</v>
      </c>
      <c r="E41" s="9">
        <f t="shared" si="16"/>
        <v>1</v>
      </c>
      <c r="F41" s="9">
        <f t="shared" si="17"/>
        <v>2026</v>
      </c>
      <c r="G41" s="9">
        <v>2026</v>
      </c>
      <c r="H41" s="32" t="s">
        <v>91</v>
      </c>
      <c r="I41" s="25" t="s">
        <v>93</v>
      </c>
      <c r="J41" s="25" t="s">
        <v>94</v>
      </c>
      <c r="K41" s="25" t="s">
        <v>51</v>
      </c>
      <c r="L41" s="34"/>
      <c r="M41" s="47" t="s">
        <v>95</v>
      </c>
      <c r="N41" s="58"/>
      <c r="O41" s="27">
        <v>-250</v>
      </c>
      <c r="P41" s="27">
        <v>0</v>
      </c>
      <c r="Q41" s="27">
        <f t="shared" si="15"/>
        <v>-250</v>
      </c>
      <c r="R41" s="35">
        <f t="shared" si="12"/>
        <v>49973.517000000007</v>
      </c>
      <c r="U41" s="36"/>
    </row>
    <row r="42" spans="2:21" s="25" customFormat="1" ht="15">
      <c r="B42" s="31">
        <f t="shared" si="0"/>
        <v>36</v>
      </c>
      <c r="C42" s="32">
        <v>46048</v>
      </c>
      <c r="D42" s="32">
        <v>46048</v>
      </c>
      <c r="E42" s="9">
        <f t="shared" ref="E42" si="18">IF(C42="","",MONTH(C42))</f>
        <v>1</v>
      </c>
      <c r="F42" s="9">
        <f t="shared" ref="F42" si="19">IF(C42="","",YEAR(C42))</f>
        <v>2026</v>
      </c>
      <c r="G42" s="9">
        <v>2026</v>
      </c>
      <c r="H42" s="32" t="s">
        <v>91</v>
      </c>
      <c r="I42" s="25" t="s">
        <v>122</v>
      </c>
      <c r="J42" s="25" t="s">
        <v>197</v>
      </c>
      <c r="K42" s="172">
        <v>20000</v>
      </c>
      <c r="L42" s="34" t="s">
        <v>30</v>
      </c>
      <c r="M42" s="47" t="s">
        <v>51</v>
      </c>
      <c r="N42" s="58" t="s">
        <v>211</v>
      </c>
      <c r="O42" s="27">
        <v>-341.88</v>
      </c>
      <c r="P42" s="27">
        <v>-58.12</v>
      </c>
      <c r="Q42" s="27">
        <f>O42+P42</f>
        <v>-400</v>
      </c>
      <c r="R42" s="35">
        <f t="shared" si="12"/>
        <v>49573.517000000007</v>
      </c>
      <c r="U42" s="36"/>
    </row>
    <row r="43" spans="2:21" s="25" customFormat="1" ht="15">
      <c r="B43" s="31">
        <f t="shared" si="0"/>
        <v>37</v>
      </c>
      <c r="C43" s="32">
        <v>46048</v>
      </c>
      <c r="D43" s="32">
        <v>46048</v>
      </c>
      <c r="E43" s="9">
        <f t="shared" ref="E43:E61" si="20">IF(C43="","",MONTH(C43))</f>
        <v>1</v>
      </c>
      <c r="F43" s="9">
        <f t="shared" ref="F43:F61" si="21">IF(C43="","",YEAR(C43))</f>
        <v>2026</v>
      </c>
      <c r="G43" s="9">
        <v>2026</v>
      </c>
      <c r="H43" s="32" t="s">
        <v>91</v>
      </c>
      <c r="I43" s="25" t="s">
        <v>122</v>
      </c>
      <c r="J43" s="25" t="s">
        <v>197</v>
      </c>
      <c r="K43" s="172">
        <v>20000</v>
      </c>
      <c r="L43" s="34" t="s">
        <v>31</v>
      </c>
      <c r="M43" s="47" t="s">
        <v>51</v>
      </c>
      <c r="N43" s="58" t="s">
        <v>211</v>
      </c>
      <c r="O43" s="27">
        <v>-341.88</v>
      </c>
      <c r="P43" s="27">
        <v>-58.12</v>
      </c>
      <c r="Q43" s="27">
        <f t="shared" ref="Q43:Q47" si="22">O43+P43</f>
        <v>-400</v>
      </c>
      <c r="R43" s="35">
        <f t="shared" si="12"/>
        <v>49173.517000000007</v>
      </c>
      <c r="U43" s="36"/>
    </row>
    <row r="44" spans="2:21" s="25" customFormat="1" ht="15">
      <c r="B44" s="31">
        <f t="shared" si="0"/>
        <v>38</v>
      </c>
      <c r="C44" s="32">
        <v>46048</v>
      </c>
      <c r="D44" s="32">
        <v>46048</v>
      </c>
      <c r="E44" s="9">
        <f t="shared" si="20"/>
        <v>1</v>
      </c>
      <c r="F44" s="9">
        <f t="shared" si="21"/>
        <v>2026</v>
      </c>
      <c r="G44" s="9">
        <v>2026</v>
      </c>
      <c r="H44" s="32" t="s">
        <v>91</v>
      </c>
      <c r="I44" s="25" t="s">
        <v>122</v>
      </c>
      <c r="J44" s="25" t="s">
        <v>197</v>
      </c>
      <c r="K44" s="172">
        <v>20000</v>
      </c>
      <c r="L44" s="34" t="s">
        <v>30</v>
      </c>
      <c r="M44" s="47" t="s">
        <v>51</v>
      </c>
      <c r="N44" s="58" t="s">
        <v>211</v>
      </c>
      <c r="O44" s="27">
        <v>-341.88</v>
      </c>
      <c r="P44" s="27">
        <v>-58.12</v>
      </c>
      <c r="Q44" s="27">
        <f t="shared" si="22"/>
        <v>-400</v>
      </c>
      <c r="R44" s="35">
        <f t="shared" si="12"/>
        <v>48773.517000000007</v>
      </c>
      <c r="U44" s="36"/>
    </row>
    <row r="45" spans="2:21" s="25" customFormat="1" ht="15">
      <c r="B45" s="31">
        <f t="shared" si="0"/>
        <v>39</v>
      </c>
      <c r="C45" s="32">
        <v>46048</v>
      </c>
      <c r="D45" s="32">
        <v>46048</v>
      </c>
      <c r="E45" s="9">
        <f t="shared" si="20"/>
        <v>1</v>
      </c>
      <c r="F45" s="9">
        <f t="shared" si="21"/>
        <v>2026</v>
      </c>
      <c r="G45" s="9">
        <v>2026</v>
      </c>
      <c r="H45" s="32" t="s">
        <v>91</v>
      </c>
      <c r="I45" s="25" t="s">
        <v>122</v>
      </c>
      <c r="J45" s="25" t="s">
        <v>197</v>
      </c>
      <c r="K45" s="172">
        <v>20000</v>
      </c>
      <c r="L45" s="34" t="s">
        <v>119</v>
      </c>
      <c r="M45" s="47" t="s">
        <v>51</v>
      </c>
      <c r="N45" s="58" t="s">
        <v>211</v>
      </c>
      <c r="O45" s="27">
        <v>-341.88</v>
      </c>
      <c r="P45" s="27">
        <v>-58.12</v>
      </c>
      <c r="Q45" s="27">
        <f t="shared" si="22"/>
        <v>-400</v>
      </c>
      <c r="R45" s="35">
        <f t="shared" si="12"/>
        <v>48373.517000000007</v>
      </c>
      <c r="U45" s="36"/>
    </row>
    <row r="46" spans="2:21" s="25" customFormat="1" ht="15">
      <c r="B46" s="31">
        <f t="shared" si="0"/>
        <v>40</v>
      </c>
      <c r="C46" s="32">
        <v>46048</v>
      </c>
      <c r="D46" s="32">
        <v>46048</v>
      </c>
      <c r="E46" s="9">
        <f t="shared" si="20"/>
        <v>1</v>
      </c>
      <c r="F46" s="9">
        <f t="shared" si="21"/>
        <v>2026</v>
      </c>
      <c r="G46" s="9">
        <v>2026</v>
      </c>
      <c r="H46" s="32" t="s">
        <v>91</v>
      </c>
      <c r="I46" s="25" t="s">
        <v>122</v>
      </c>
      <c r="J46" s="25" t="s">
        <v>197</v>
      </c>
      <c r="K46" s="172">
        <v>20000</v>
      </c>
      <c r="L46" s="34" t="s">
        <v>120</v>
      </c>
      <c r="M46" s="47" t="s">
        <v>51</v>
      </c>
      <c r="N46" s="58" t="s">
        <v>211</v>
      </c>
      <c r="O46" s="27">
        <v>-341.88</v>
      </c>
      <c r="P46" s="27">
        <v>-58.12</v>
      </c>
      <c r="Q46" s="27">
        <f t="shared" si="22"/>
        <v>-400</v>
      </c>
      <c r="R46" s="35">
        <f t="shared" si="12"/>
        <v>47973.517000000007</v>
      </c>
      <c r="U46" s="36"/>
    </row>
    <row r="47" spans="2:21" s="25" customFormat="1" ht="15">
      <c r="B47" s="31">
        <f t="shared" si="0"/>
        <v>41</v>
      </c>
      <c r="C47" s="32">
        <v>46048</v>
      </c>
      <c r="D47" s="32">
        <v>46048</v>
      </c>
      <c r="E47" s="9">
        <f t="shared" si="20"/>
        <v>1</v>
      </c>
      <c r="F47" s="9">
        <f t="shared" si="21"/>
        <v>2026</v>
      </c>
      <c r="G47" s="9">
        <v>2026</v>
      </c>
      <c r="H47" s="32" t="s">
        <v>91</v>
      </c>
      <c r="I47" s="25" t="s">
        <v>122</v>
      </c>
      <c r="J47" s="25" t="s">
        <v>197</v>
      </c>
      <c r="K47" s="172">
        <v>40000</v>
      </c>
      <c r="L47" s="34" t="s">
        <v>121</v>
      </c>
      <c r="M47" s="47" t="s">
        <v>51</v>
      </c>
      <c r="N47" s="58" t="s">
        <v>211</v>
      </c>
      <c r="O47" s="27">
        <f>-341.88*2</f>
        <v>-683.76</v>
      </c>
      <c r="P47" s="27">
        <v>-116.24</v>
      </c>
      <c r="Q47" s="27">
        <f t="shared" si="22"/>
        <v>-800</v>
      </c>
      <c r="R47" s="35">
        <f t="shared" si="12"/>
        <v>47173.517000000007</v>
      </c>
      <c r="U47" s="36"/>
    </row>
    <row r="48" spans="2:21" s="25" customFormat="1" ht="15">
      <c r="B48" s="31">
        <f t="shared" si="0"/>
        <v>42</v>
      </c>
      <c r="C48" s="32">
        <v>46048</v>
      </c>
      <c r="D48" s="32">
        <v>46048</v>
      </c>
      <c r="E48" s="9">
        <f t="shared" si="20"/>
        <v>1</v>
      </c>
      <c r="F48" s="9">
        <f t="shared" si="21"/>
        <v>2026</v>
      </c>
      <c r="G48" s="9">
        <v>2026</v>
      </c>
      <c r="H48" s="32" t="s">
        <v>91</v>
      </c>
      <c r="I48" s="25" t="s">
        <v>122</v>
      </c>
      <c r="J48" s="25" t="s">
        <v>197</v>
      </c>
      <c r="K48" s="172">
        <v>20000</v>
      </c>
      <c r="L48" s="34" t="s">
        <v>127</v>
      </c>
      <c r="M48" s="47" t="s">
        <v>51</v>
      </c>
      <c r="N48" s="58" t="s">
        <v>211</v>
      </c>
      <c r="O48" s="27">
        <v>-341.88</v>
      </c>
      <c r="P48" s="27">
        <v>-58.12</v>
      </c>
      <c r="Q48" s="27">
        <f t="shared" ref="Q48" si="23">O48+P48</f>
        <v>-400</v>
      </c>
      <c r="R48" s="35">
        <f t="shared" si="12"/>
        <v>46773.517000000007</v>
      </c>
      <c r="U48" s="36"/>
    </row>
    <row r="49" spans="2:21" s="25" customFormat="1" ht="15">
      <c r="B49" s="31">
        <f t="shared" si="0"/>
        <v>43</v>
      </c>
      <c r="C49" s="32">
        <v>46048</v>
      </c>
      <c r="D49" s="32">
        <v>46048</v>
      </c>
      <c r="E49" s="9">
        <f t="shared" si="20"/>
        <v>1</v>
      </c>
      <c r="F49" s="9">
        <f t="shared" si="21"/>
        <v>2026</v>
      </c>
      <c r="G49" s="9">
        <v>2026</v>
      </c>
      <c r="H49" s="32" t="s">
        <v>91</v>
      </c>
      <c r="I49" s="25" t="s">
        <v>122</v>
      </c>
      <c r="J49" s="25" t="s">
        <v>197</v>
      </c>
      <c r="K49" s="172">
        <v>20000</v>
      </c>
      <c r="L49" s="34" t="s">
        <v>128</v>
      </c>
      <c r="M49" s="47" t="s">
        <v>51</v>
      </c>
      <c r="N49" s="58" t="s">
        <v>211</v>
      </c>
      <c r="O49" s="27">
        <v>-341.88</v>
      </c>
      <c r="P49" s="27">
        <v>-58.12</v>
      </c>
      <c r="Q49" s="27">
        <f t="shared" ref="Q49" si="24">O49+P49</f>
        <v>-400</v>
      </c>
      <c r="R49" s="35">
        <f t="shared" si="12"/>
        <v>46373.517000000007</v>
      </c>
      <c r="U49" s="36"/>
    </row>
    <row r="50" spans="2:21" s="25" customFormat="1" ht="15">
      <c r="B50" s="31">
        <f t="shared" si="0"/>
        <v>44</v>
      </c>
      <c r="C50" s="32">
        <v>46048</v>
      </c>
      <c r="D50" s="32">
        <v>46048</v>
      </c>
      <c r="E50" s="9">
        <f t="shared" si="20"/>
        <v>1</v>
      </c>
      <c r="F50" s="9">
        <f t="shared" si="21"/>
        <v>2026</v>
      </c>
      <c r="G50" s="9">
        <v>2026</v>
      </c>
      <c r="H50" s="32" t="s">
        <v>91</v>
      </c>
      <c r="I50" s="25" t="s">
        <v>122</v>
      </c>
      <c r="J50" s="25" t="s">
        <v>197</v>
      </c>
      <c r="K50" s="172">
        <v>20000</v>
      </c>
      <c r="L50" s="34" t="s">
        <v>129</v>
      </c>
      <c r="M50" s="47" t="s">
        <v>51</v>
      </c>
      <c r="N50" s="58" t="s">
        <v>211</v>
      </c>
      <c r="O50" s="27">
        <v>-341.88</v>
      </c>
      <c r="P50" s="27">
        <v>-58.12</v>
      </c>
      <c r="Q50" s="27">
        <f t="shared" ref="Q50:Q54" si="25">O50+P50</f>
        <v>-400</v>
      </c>
      <c r="R50" s="35">
        <f t="shared" si="12"/>
        <v>45973.517000000007</v>
      </c>
      <c r="U50" s="36"/>
    </row>
    <row r="51" spans="2:21" s="25" customFormat="1" ht="15">
      <c r="B51" s="31">
        <f t="shared" si="0"/>
        <v>45</v>
      </c>
      <c r="C51" s="32">
        <v>46048</v>
      </c>
      <c r="D51" s="32">
        <v>46048</v>
      </c>
      <c r="E51" s="9">
        <f t="shared" si="20"/>
        <v>1</v>
      </c>
      <c r="F51" s="9">
        <f t="shared" si="21"/>
        <v>2026</v>
      </c>
      <c r="G51" s="9">
        <v>2026</v>
      </c>
      <c r="H51" s="32" t="s">
        <v>91</v>
      </c>
      <c r="I51" s="25" t="s">
        <v>122</v>
      </c>
      <c r="J51" s="25" t="s">
        <v>198</v>
      </c>
      <c r="K51" s="172">
        <f>-SUM(K42:K50)</f>
        <v>-200000</v>
      </c>
      <c r="L51" s="34" t="s">
        <v>218</v>
      </c>
      <c r="M51" s="47" t="s">
        <v>51</v>
      </c>
      <c r="N51" s="58" t="s">
        <v>211</v>
      </c>
      <c r="O51" s="27">
        <f>-SUM(O42:O50)</f>
        <v>3418.8</v>
      </c>
      <c r="P51" s="27">
        <v>581.20000000000005</v>
      </c>
      <c r="Q51" s="27">
        <f>O51+P51</f>
        <v>4000</v>
      </c>
      <c r="R51" s="35">
        <f t="shared" si="12"/>
        <v>49973.517000000007</v>
      </c>
      <c r="U51" s="36"/>
    </row>
    <row r="52" spans="2:21" s="25" customFormat="1" ht="15">
      <c r="B52" s="31">
        <f t="shared" si="0"/>
        <v>46</v>
      </c>
      <c r="C52" s="32">
        <v>46048</v>
      </c>
      <c r="D52" s="32">
        <v>46048</v>
      </c>
      <c r="E52" s="9">
        <f t="shared" si="20"/>
        <v>1</v>
      </c>
      <c r="F52" s="9">
        <f t="shared" si="21"/>
        <v>2026</v>
      </c>
      <c r="G52" s="9">
        <v>2026</v>
      </c>
      <c r="H52" s="32" t="s">
        <v>91</v>
      </c>
      <c r="I52" s="25" t="s">
        <v>122</v>
      </c>
      <c r="J52" s="25" t="s">
        <v>199</v>
      </c>
      <c r="K52" s="172">
        <f>-K51</f>
        <v>200000</v>
      </c>
      <c r="L52" s="34" t="s">
        <v>51</v>
      </c>
      <c r="M52" s="47" t="s">
        <v>203</v>
      </c>
      <c r="N52" s="58" t="s">
        <v>211</v>
      </c>
      <c r="O52" s="27">
        <f>-O51</f>
        <v>-3418.8</v>
      </c>
      <c r="P52" s="27">
        <v>-581.20000000000005</v>
      </c>
      <c r="Q52" s="27">
        <f t="shared" si="25"/>
        <v>-4000</v>
      </c>
      <c r="R52" s="35">
        <f t="shared" si="12"/>
        <v>45973.517000000007</v>
      </c>
      <c r="U52" s="36"/>
    </row>
    <row r="53" spans="2:21" s="25" customFormat="1" ht="15">
      <c r="B53" s="31">
        <f t="shared" si="0"/>
        <v>47</v>
      </c>
      <c r="C53" s="32">
        <v>46129</v>
      </c>
      <c r="D53" s="32">
        <v>46129</v>
      </c>
      <c r="E53" s="9">
        <f t="shared" si="20"/>
        <v>4</v>
      </c>
      <c r="F53" s="9">
        <f t="shared" si="21"/>
        <v>2026</v>
      </c>
      <c r="G53" s="9">
        <v>2026</v>
      </c>
      <c r="H53" s="32" t="s">
        <v>91</v>
      </c>
      <c r="I53" s="25" t="s">
        <v>93</v>
      </c>
      <c r="J53" s="25" t="s">
        <v>94</v>
      </c>
      <c r="K53" s="25" t="s">
        <v>51</v>
      </c>
      <c r="L53" s="34"/>
      <c r="M53" s="47" t="s">
        <v>95</v>
      </c>
      <c r="N53" s="58"/>
      <c r="O53" s="27">
        <v>-250</v>
      </c>
      <c r="P53" s="27">
        <v>0</v>
      </c>
      <c r="Q53" s="27">
        <f t="shared" si="25"/>
        <v>-250</v>
      </c>
      <c r="R53" s="35">
        <f t="shared" si="12"/>
        <v>45723.517000000007</v>
      </c>
      <c r="U53" s="36"/>
    </row>
    <row r="54" spans="2:21" s="25" customFormat="1" ht="15">
      <c r="B54" s="31">
        <f t="shared" si="0"/>
        <v>48</v>
      </c>
      <c r="C54" s="32">
        <v>46139</v>
      </c>
      <c r="D54" s="32">
        <v>46139</v>
      </c>
      <c r="E54" s="9">
        <f t="shared" si="20"/>
        <v>4</v>
      </c>
      <c r="F54" s="9">
        <f t="shared" si="21"/>
        <v>2026</v>
      </c>
      <c r="G54" s="9">
        <v>2025</v>
      </c>
      <c r="H54" s="32" t="s">
        <v>91</v>
      </c>
      <c r="I54" s="25" t="s">
        <v>57</v>
      </c>
      <c r="J54" s="25" t="s">
        <v>196</v>
      </c>
      <c r="K54" s="25" t="s">
        <v>51</v>
      </c>
      <c r="L54" s="34"/>
      <c r="M54" s="47" t="s">
        <v>55</v>
      </c>
      <c r="N54" s="58" t="s">
        <v>188</v>
      </c>
      <c r="O54" s="27">
        <v>-15</v>
      </c>
      <c r="P54" s="27">
        <f>O54*$P$5</f>
        <v>-2.5500000000000003</v>
      </c>
      <c r="Q54" s="27">
        <f t="shared" si="25"/>
        <v>-17.55</v>
      </c>
      <c r="R54" s="35">
        <f t="shared" si="12"/>
        <v>45705.967000000004</v>
      </c>
      <c r="U54" s="36"/>
    </row>
    <row r="55" spans="2:21" s="25" customFormat="1" ht="15">
      <c r="B55" s="31">
        <f t="shared" si="0"/>
        <v>49</v>
      </c>
      <c r="C55" s="32">
        <v>46139</v>
      </c>
      <c r="D55" s="32">
        <v>46139</v>
      </c>
      <c r="E55" s="9">
        <f t="shared" si="20"/>
        <v>4</v>
      </c>
      <c r="F55" s="9">
        <f t="shared" si="21"/>
        <v>2026</v>
      </c>
      <c r="G55" s="9">
        <v>2025</v>
      </c>
      <c r="H55" s="32" t="s">
        <v>91</v>
      </c>
      <c r="I55" s="25" t="s">
        <v>57</v>
      </c>
      <c r="J55" s="25" t="s">
        <v>195</v>
      </c>
      <c r="K55" s="25" t="s">
        <v>30</v>
      </c>
      <c r="L55" s="34"/>
      <c r="M55" s="47" t="s">
        <v>51</v>
      </c>
      <c r="N55" s="58"/>
      <c r="O55" s="27">
        <v>15</v>
      </c>
      <c r="P55" s="27">
        <v>2.5499999999999998</v>
      </c>
      <c r="Q55" s="27">
        <v>17.55</v>
      </c>
      <c r="R55" s="35">
        <f t="shared" si="12"/>
        <v>45723.517000000007</v>
      </c>
      <c r="U55" s="36"/>
    </row>
    <row r="56" spans="2:21" s="25" customFormat="1" ht="15">
      <c r="B56" s="31">
        <f t="shared" si="0"/>
        <v>50</v>
      </c>
      <c r="C56" s="32">
        <v>46139</v>
      </c>
      <c r="D56" s="32">
        <v>46139</v>
      </c>
      <c r="E56" s="9">
        <f t="shared" si="20"/>
        <v>4</v>
      </c>
      <c r="F56" s="9">
        <f t="shared" si="21"/>
        <v>2026</v>
      </c>
      <c r="G56" s="9">
        <v>2025</v>
      </c>
      <c r="H56" s="32" t="s">
        <v>91</v>
      </c>
      <c r="I56" s="25" t="s">
        <v>57</v>
      </c>
      <c r="J56" s="25" t="s">
        <v>83</v>
      </c>
      <c r="K56" s="25" t="s">
        <v>51</v>
      </c>
      <c r="L56" s="34"/>
      <c r="M56" s="47" t="s">
        <v>30</v>
      </c>
      <c r="N56" s="58"/>
      <c r="O56" s="27">
        <f>-O55</f>
        <v>-15</v>
      </c>
      <c r="P56" s="27">
        <f t="shared" ref="P56:Q56" si="26">-P55</f>
        <v>-2.5499999999999998</v>
      </c>
      <c r="Q56" s="27">
        <f t="shared" si="26"/>
        <v>-17.55</v>
      </c>
      <c r="R56" s="35">
        <f t="shared" si="12"/>
        <v>45705.967000000004</v>
      </c>
      <c r="U56" s="36"/>
    </row>
    <row r="57" spans="2:21" s="25" customFormat="1" ht="15">
      <c r="B57" s="31">
        <f t="shared" si="0"/>
        <v>51</v>
      </c>
      <c r="C57" s="32">
        <v>46149</v>
      </c>
      <c r="D57" s="32">
        <v>46149</v>
      </c>
      <c r="E57" s="9">
        <f t="shared" si="20"/>
        <v>5</v>
      </c>
      <c r="F57" s="9">
        <f t="shared" si="21"/>
        <v>2026</v>
      </c>
      <c r="G57" s="9">
        <v>2026</v>
      </c>
      <c r="H57" s="32" t="s">
        <v>91</v>
      </c>
      <c r="I57" s="25" t="s">
        <v>105</v>
      </c>
      <c r="J57" s="25" t="s">
        <v>97</v>
      </c>
      <c r="K57" s="25" t="s">
        <v>51</v>
      </c>
      <c r="L57" s="34"/>
      <c r="M57" s="47" t="s">
        <v>98</v>
      </c>
      <c r="N57" s="58"/>
      <c r="O57" s="27">
        <v>-40000</v>
      </c>
      <c r="P57" s="27">
        <v>0</v>
      </c>
      <c r="Q57" s="27">
        <f t="shared" ref="Q57:Q61" si="27">O57+P57</f>
        <v>-40000</v>
      </c>
      <c r="R57" s="35">
        <f t="shared" si="12"/>
        <v>5705.9670000000042</v>
      </c>
      <c r="U57" s="36"/>
    </row>
    <row r="58" spans="2:21" s="25" customFormat="1" ht="15">
      <c r="B58" s="31">
        <f t="shared" si="0"/>
        <v>52</v>
      </c>
      <c r="C58" s="32">
        <v>46149</v>
      </c>
      <c r="D58" s="32">
        <v>46149</v>
      </c>
      <c r="E58" s="9">
        <f t="shared" si="20"/>
        <v>5</v>
      </c>
      <c r="F58" s="9">
        <f t="shared" si="21"/>
        <v>2026</v>
      </c>
      <c r="G58" s="9">
        <v>2026</v>
      </c>
      <c r="H58" s="32" t="s">
        <v>91</v>
      </c>
      <c r="I58" s="25" t="s">
        <v>93</v>
      </c>
      <c r="J58" s="25" t="s">
        <v>99</v>
      </c>
      <c r="K58" s="25" t="s">
        <v>51</v>
      </c>
      <c r="L58" s="34"/>
      <c r="M58" s="47" t="s">
        <v>95</v>
      </c>
      <c r="N58" s="58"/>
      <c r="O58" s="27">
        <v>-5</v>
      </c>
      <c r="P58" s="27">
        <v>0</v>
      </c>
      <c r="Q58" s="27">
        <f t="shared" si="27"/>
        <v>-5</v>
      </c>
      <c r="R58" s="35">
        <f t="shared" si="12"/>
        <v>5700.9670000000042</v>
      </c>
      <c r="U58" s="36"/>
    </row>
    <row r="59" spans="2:21" s="25" customFormat="1" ht="15">
      <c r="B59" s="31">
        <f t="shared" si="0"/>
        <v>53</v>
      </c>
      <c r="C59" s="32">
        <v>46149</v>
      </c>
      <c r="D59" s="32">
        <v>46149</v>
      </c>
      <c r="E59" s="9">
        <f t="shared" si="20"/>
        <v>5</v>
      </c>
      <c r="F59" s="9">
        <f t="shared" si="21"/>
        <v>2026</v>
      </c>
      <c r="G59" s="9">
        <v>2026</v>
      </c>
      <c r="H59" s="32" t="s">
        <v>91</v>
      </c>
      <c r="I59" s="25" t="s">
        <v>93</v>
      </c>
      <c r="J59" s="25" t="s">
        <v>99</v>
      </c>
      <c r="K59" s="25" t="s">
        <v>51</v>
      </c>
      <c r="L59" s="34"/>
      <c r="M59" s="47" t="s">
        <v>95</v>
      </c>
      <c r="N59" s="58"/>
      <c r="O59" s="27">
        <v>-4</v>
      </c>
      <c r="P59" s="27">
        <v>0</v>
      </c>
      <c r="Q59" s="27">
        <f t="shared" si="27"/>
        <v>-4</v>
      </c>
      <c r="R59" s="35">
        <f t="shared" si="12"/>
        <v>5696.9670000000042</v>
      </c>
      <c r="U59" s="36"/>
    </row>
    <row r="60" spans="2:21" s="25" customFormat="1" ht="15">
      <c r="B60" s="31">
        <f t="shared" si="0"/>
        <v>54</v>
      </c>
      <c r="C60" s="32">
        <v>46220</v>
      </c>
      <c r="D60" s="32">
        <v>46220</v>
      </c>
      <c r="E60" s="9">
        <f t="shared" si="20"/>
        <v>7</v>
      </c>
      <c r="F60" s="9">
        <f t="shared" si="21"/>
        <v>2026</v>
      </c>
      <c r="G60" s="9">
        <v>2026</v>
      </c>
      <c r="H60" s="32" t="s">
        <v>91</v>
      </c>
      <c r="I60" s="25" t="s">
        <v>56</v>
      </c>
      <c r="J60" s="25" t="s">
        <v>58</v>
      </c>
      <c r="K60" s="25" t="s">
        <v>207</v>
      </c>
      <c r="L60" s="34" t="s">
        <v>207</v>
      </c>
      <c r="M60" s="25" t="s">
        <v>51</v>
      </c>
      <c r="N60" s="58"/>
      <c r="O60" s="27">
        <v>40000</v>
      </c>
      <c r="P60" s="27">
        <v>0</v>
      </c>
      <c r="Q60" s="27">
        <f t="shared" si="27"/>
        <v>40000</v>
      </c>
      <c r="R60" s="35">
        <f t="shared" si="12"/>
        <v>45696.967000000004</v>
      </c>
      <c r="U60" s="36"/>
    </row>
    <row r="61" spans="2:21" s="25" customFormat="1" ht="15">
      <c r="B61" s="31">
        <f t="shared" si="0"/>
        <v>55</v>
      </c>
      <c r="C61" s="32">
        <v>46220</v>
      </c>
      <c r="D61" s="32">
        <v>46220</v>
      </c>
      <c r="E61" s="9">
        <f t="shared" si="20"/>
        <v>7</v>
      </c>
      <c r="F61" s="9">
        <f t="shared" si="21"/>
        <v>2026</v>
      </c>
      <c r="G61" s="9">
        <v>2026</v>
      </c>
      <c r="H61" s="32" t="s">
        <v>91</v>
      </c>
      <c r="I61" s="25" t="s">
        <v>56</v>
      </c>
      <c r="J61" s="25" t="s">
        <v>58</v>
      </c>
      <c r="K61" s="25" t="s">
        <v>208</v>
      </c>
      <c r="L61" s="34" t="s">
        <v>208</v>
      </c>
      <c r="M61" s="25" t="s">
        <v>51</v>
      </c>
      <c r="N61" s="58"/>
      <c r="O61" s="27">
        <v>20000</v>
      </c>
      <c r="P61" s="27">
        <v>0</v>
      </c>
      <c r="Q61" s="27">
        <f t="shared" si="27"/>
        <v>20000</v>
      </c>
      <c r="R61" s="35">
        <f t="shared" si="12"/>
        <v>65696.967000000004</v>
      </c>
      <c r="U61" s="36"/>
    </row>
    <row r="62" spans="2:21" s="25" customFormat="1" ht="15">
      <c r="B62" s="31">
        <f t="shared" si="0"/>
        <v>56</v>
      </c>
      <c r="C62" s="32">
        <v>46220</v>
      </c>
      <c r="D62" s="32">
        <v>46220</v>
      </c>
      <c r="E62" s="9">
        <f t="shared" ref="E62:E68" si="28">IF(C62="","",MONTH(C62))</f>
        <v>7</v>
      </c>
      <c r="F62" s="9">
        <f t="shared" ref="F62:F68" si="29">IF(C62="","",YEAR(C62))</f>
        <v>2026</v>
      </c>
      <c r="G62" s="9">
        <v>2026</v>
      </c>
      <c r="H62" s="32" t="s">
        <v>91</v>
      </c>
      <c r="I62" s="25" t="s">
        <v>122</v>
      </c>
      <c r="J62" s="25" t="s">
        <v>197</v>
      </c>
      <c r="K62" s="172">
        <v>40000</v>
      </c>
      <c r="L62" s="34" t="s">
        <v>207</v>
      </c>
      <c r="M62" s="47" t="s">
        <v>51</v>
      </c>
      <c r="N62" s="58" t="s">
        <v>212</v>
      </c>
      <c r="O62" s="27">
        <v>-683.76</v>
      </c>
      <c r="P62" s="27">
        <v>-116.24</v>
      </c>
      <c r="Q62" s="27">
        <f t="shared" ref="Q62:Q63" si="30">O62+P62</f>
        <v>-800</v>
      </c>
      <c r="R62" s="35">
        <f t="shared" si="12"/>
        <v>64896.967000000004</v>
      </c>
      <c r="U62" s="36"/>
    </row>
    <row r="63" spans="2:21" s="25" customFormat="1" ht="15">
      <c r="B63" s="31">
        <f t="shared" si="0"/>
        <v>57</v>
      </c>
      <c r="C63" s="32">
        <v>46220</v>
      </c>
      <c r="D63" s="32">
        <v>46220</v>
      </c>
      <c r="E63" s="9">
        <f t="shared" si="28"/>
        <v>7</v>
      </c>
      <c r="F63" s="9">
        <f t="shared" si="29"/>
        <v>2026</v>
      </c>
      <c r="G63" s="9">
        <v>2026</v>
      </c>
      <c r="H63" s="32" t="s">
        <v>91</v>
      </c>
      <c r="I63" s="25" t="s">
        <v>122</v>
      </c>
      <c r="J63" s="25" t="s">
        <v>197</v>
      </c>
      <c r="K63" s="172">
        <v>20000</v>
      </c>
      <c r="L63" s="34" t="s">
        <v>208</v>
      </c>
      <c r="M63" s="47" t="s">
        <v>51</v>
      </c>
      <c r="N63" s="58" t="s">
        <v>212</v>
      </c>
      <c r="O63" s="27">
        <v>-341.88</v>
      </c>
      <c r="P63" s="27">
        <v>-58.12</v>
      </c>
      <c r="Q63" s="27">
        <f t="shared" si="30"/>
        <v>-400</v>
      </c>
      <c r="R63" s="35">
        <f t="shared" si="12"/>
        <v>64496.967000000004</v>
      </c>
      <c r="U63" s="36"/>
    </row>
    <row r="64" spans="2:21" s="25" customFormat="1" ht="15">
      <c r="B64" s="31">
        <f t="shared" si="0"/>
        <v>58</v>
      </c>
      <c r="C64" s="32">
        <v>46220</v>
      </c>
      <c r="D64" s="32">
        <v>46220</v>
      </c>
      <c r="E64" s="9">
        <f t="shared" si="28"/>
        <v>7</v>
      </c>
      <c r="F64" s="9">
        <f t="shared" si="29"/>
        <v>2026</v>
      </c>
      <c r="G64" s="9">
        <v>2026</v>
      </c>
      <c r="H64" s="32" t="s">
        <v>91</v>
      </c>
      <c r="I64" s="25" t="s">
        <v>122</v>
      </c>
      <c r="J64" s="25" t="s">
        <v>198</v>
      </c>
      <c r="K64" s="172">
        <f>-SUM(K78:K84)</f>
        <v>0</v>
      </c>
      <c r="L64" s="34" t="s">
        <v>218</v>
      </c>
      <c r="M64" s="47" t="s">
        <v>51</v>
      </c>
      <c r="N64" s="58" t="s">
        <v>212</v>
      </c>
      <c r="O64" s="27">
        <f>-O62-O63</f>
        <v>1025.6399999999999</v>
      </c>
      <c r="P64" s="27">
        <v>174.36</v>
      </c>
      <c r="Q64" s="27">
        <f>O64+P64</f>
        <v>1200</v>
      </c>
      <c r="R64" s="35">
        <f t="shared" si="12"/>
        <v>65696.967000000004</v>
      </c>
      <c r="U64" s="36"/>
    </row>
    <row r="65" spans="2:21" s="25" customFormat="1" ht="15">
      <c r="B65" s="31">
        <f t="shared" si="0"/>
        <v>59</v>
      </c>
      <c r="C65" s="32">
        <v>46220</v>
      </c>
      <c r="D65" s="32">
        <v>46220</v>
      </c>
      <c r="E65" s="9">
        <f t="shared" si="28"/>
        <v>7</v>
      </c>
      <c r="F65" s="9">
        <f t="shared" si="29"/>
        <v>2026</v>
      </c>
      <c r="G65" s="9">
        <v>2026</v>
      </c>
      <c r="H65" s="32" t="s">
        <v>91</v>
      </c>
      <c r="I65" s="25" t="s">
        <v>122</v>
      </c>
      <c r="J65" s="25" t="s">
        <v>199</v>
      </c>
      <c r="K65" s="172">
        <f>-K64</f>
        <v>0</v>
      </c>
      <c r="L65" s="34" t="s">
        <v>51</v>
      </c>
      <c r="M65" s="47" t="s">
        <v>203</v>
      </c>
      <c r="N65" s="58" t="s">
        <v>212</v>
      </c>
      <c r="O65" s="27">
        <f>-O64</f>
        <v>-1025.6399999999999</v>
      </c>
      <c r="P65" s="27">
        <v>-174.36</v>
      </c>
      <c r="Q65" s="27">
        <f t="shared" ref="Q65:Q68" si="31">O65+P65</f>
        <v>-1200</v>
      </c>
      <c r="R65" s="35">
        <f t="shared" si="12"/>
        <v>64496.967000000004</v>
      </c>
      <c r="U65" s="36"/>
    </row>
    <row r="66" spans="2:21" s="25" customFormat="1" ht="15">
      <c r="B66" s="31">
        <f t="shared" si="0"/>
        <v>60</v>
      </c>
      <c r="C66" s="32">
        <v>46224</v>
      </c>
      <c r="D66" s="32">
        <v>46224</v>
      </c>
      <c r="E66" s="9">
        <f t="shared" si="28"/>
        <v>7</v>
      </c>
      <c r="F66" s="9">
        <f t="shared" si="29"/>
        <v>2026</v>
      </c>
      <c r="G66" s="9">
        <v>2026</v>
      </c>
      <c r="H66" s="32" t="s">
        <v>91</v>
      </c>
      <c r="I66" s="25" t="s">
        <v>93</v>
      </c>
      <c r="J66" s="25" t="s">
        <v>94</v>
      </c>
      <c r="K66" s="25" t="s">
        <v>51</v>
      </c>
      <c r="L66" s="34"/>
      <c r="M66" s="47" t="s">
        <v>95</v>
      </c>
      <c r="N66" s="58"/>
      <c r="O66" s="27">
        <v>-250</v>
      </c>
      <c r="P66" s="27">
        <v>0</v>
      </c>
      <c r="Q66" s="27">
        <f t="shared" si="31"/>
        <v>-250</v>
      </c>
      <c r="R66" s="35">
        <f t="shared" si="12"/>
        <v>64246.967000000004</v>
      </c>
      <c r="U66" s="36"/>
    </row>
    <row r="67" spans="2:21" s="25" customFormat="1" ht="15">
      <c r="B67" s="31">
        <f t="shared" si="0"/>
        <v>61</v>
      </c>
      <c r="C67" s="32">
        <v>46230</v>
      </c>
      <c r="D67" s="32">
        <v>46230</v>
      </c>
      <c r="E67" s="9">
        <f t="shared" si="28"/>
        <v>7</v>
      </c>
      <c r="F67" s="9">
        <f t="shared" si="29"/>
        <v>2026</v>
      </c>
      <c r="G67" s="9">
        <v>2026</v>
      </c>
      <c r="H67" s="32" t="s">
        <v>91</v>
      </c>
      <c r="I67" s="25" t="s">
        <v>105</v>
      </c>
      <c r="J67" s="25" t="s">
        <v>97</v>
      </c>
      <c r="K67" s="25" t="s">
        <v>51</v>
      </c>
      <c r="L67" s="34"/>
      <c r="M67" s="47" t="s">
        <v>98</v>
      </c>
      <c r="N67" s="58"/>
      <c r="O67" s="27">
        <v>-50000</v>
      </c>
      <c r="P67" s="27">
        <v>0</v>
      </c>
      <c r="Q67" s="27">
        <f t="shared" si="31"/>
        <v>-50000</v>
      </c>
      <c r="R67" s="35">
        <f t="shared" si="12"/>
        <v>14246.967000000004</v>
      </c>
      <c r="U67" s="36"/>
    </row>
    <row r="68" spans="2:21" s="25" customFormat="1" ht="15">
      <c r="B68" s="31">
        <f t="shared" si="0"/>
        <v>62</v>
      </c>
      <c r="C68" s="32">
        <v>46230</v>
      </c>
      <c r="D68" s="32">
        <v>46230</v>
      </c>
      <c r="E68" s="9">
        <f t="shared" si="28"/>
        <v>7</v>
      </c>
      <c r="F68" s="9">
        <f t="shared" si="29"/>
        <v>2026</v>
      </c>
      <c r="G68" s="9">
        <v>2026</v>
      </c>
      <c r="H68" s="32" t="s">
        <v>91</v>
      </c>
      <c r="I68" s="25" t="s">
        <v>93</v>
      </c>
      <c r="J68" s="25" t="s">
        <v>99</v>
      </c>
      <c r="K68" s="25" t="s">
        <v>51</v>
      </c>
      <c r="L68" s="34"/>
      <c r="M68" s="47" t="s">
        <v>95</v>
      </c>
      <c r="N68" s="58"/>
      <c r="O68" s="27">
        <v>-25</v>
      </c>
      <c r="P68" s="27">
        <v>0</v>
      </c>
      <c r="Q68" s="27">
        <f t="shared" si="31"/>
        <v>-25</v>
      </c>
      <c r="R68" s="35">
        <f t="shared" si="12"/>
        <v>14221.967000000004</v>
      </c>
      <c r="U68" s="36"/>
    </row>
    <row r="69" spans="2:21" s="25" customFormat="1" ht="15">
      <c r="B69" s="31"/>
      <c r="C69" s="32"/>
      <c r="D69" s="32"/>
      <c r="E69" s="32"/>
      <c r="F69" s="32"/>
      <c r="G69" s="32"/>
      <c r="H69" s="32"/>
      <c r="L69" s="34"/>
      <c r="N69" s="58"/>
      <c r="O69" s="27"/>
      <c r="P69" s="27"/>
      <c r="Q69" s="27"/>
      <c r="R69" s="35">
        <f t="shared" si="12"/>
        <v>14221.967000000004</v>
      </c>
      <c r="U69" s="36"/>
    </row>
    <row r="70" spans="2:21" s="25" customFormat="1" ht="15">
      <c r="B70" s="31"/>
      <c r="C70" s="32"/>
      <c r="D70" s="32"/>
      <c r="E70" s="32"/>
      <c r="F70" s="32"/>
      <c r="G70" s="32"/>
      <c r="H70" s="32"/>
      <c r="L70" s="34"/>
      <c r="M70" s="47"/>
      <c r="N70" s="58"/>
      <c r="O70" s="27"/>
      <c r="P70" s="27"/>
      <c r="Q70" s="27"/>
      <c r="R70" s="35">
        <f t="shared" si="12"/>
        <v>14221.967000000004</v>
      </c>
      <c r="U70" s="36"/>
    </row>
    <row r="71" spans="2:21" s="25" customFormat="1" ht="15">
      <c r="B71" s="31"/>
      <c r="C71" s="24"/>
      <c r="D71" s="24"/>
      <c r="E71" s="24"/>
      <c r="F71" s="24"/>
      <c r="G71" s="24"/>
      <c r="H71" s="24"/>
      <c r="L71" s="24"/>
      <c r="M71" s="24"/>
      <c r="N71" s="58"/>
      <c r="O71" s="27"/>
      <c r="P71" s="27"/>
      <c r="Q71" s="27"/>
      <c r="R71" s="35" t="str">
        <f t="shared" ref="R71" si="32">IF(Q71="",".",R70+Q71)</f>
        <v>.</v>
      </c>
      <c r="U71" s="36"/>
    </row>
    <row r="72" spans="2:21" s="25" customFormat="1" ht="15">
      <c r="B72" s="37"/>
      <c r="C72" s="39"/>
      <c r="D72" s="39"/>
      <c r="E72" s="39"/>
      <c r="F72" s="39"/>
      <c r="G72" s="39"/>
      <c r="H72" s="39"/>
      <c r="I72" s="38"/>
      <c r="J72" s="38"/>
      <c r="K72" s="38"/>
      <c r="L72" s="39"/>
      <c r="M72" s="48"/>
      <c r="N72" s="60"/>
      <c r="O72" s="40">
        <f>SUM(O7:O71)</f>
        <v>15027.660000000033</v>
      </c>
      <c r="P72" s="40">
        <f>SUM(P7:P71)</f>
        <v>-805.69299999999998</v>
      </c>
      <c r="Q72" s="40">
        <f>SUM(Q7:Q71)</f>
        <v>14221.967000000004</v>
      </c>
      <c r="R72" s="41">
        <f>INDEX(R7:R71,COUNTIF(R7:R71,"&lt;&gt;."))</f>
        <v>14221.967000000004</v>
      </c>
      <c r="U72" s="36"/>
    </row>
    <row r="73" spans="2:21" s="18" customFormat="1">
      <c r="B73" s="14"/>
      <c r="C73" s="14"/>
      <c r="D73" s="14"/>
      <c r="E73" s="14"/>
      <c r="F73" s="14"/>
      <c r="G73" s="14"/>
      <c r="H73" s="14"/>
      <c r="I73" s="15"/>
      <c r="J73" s="15"/>
      <c r="K73" s="15"/>
      <c r="L73" s="14"/>
      <c r="M73" s="14"/>
      <c r="N73" s="61"/>
      <c r="O73" s="14"/>
      <c r="P73" s="14"/>
      <c r="Q73" s="16"/>
      <c r="R73" s="17"/>
    </row>
    <row r="74" spans="2:21" s="25" customFormat="1" ht="15">
      <c r="B74" s="31">
        <f>B83+1</f>
        <v>1</v>
      </c>
      <c r="C74" s="32"/>
      <c r="D74" s="32"/>
      <c r="E74" s="9" t="str">
        <f t="shared" ref="E74:E76" si="33">IF(C74="","",MONTH(C74))</f>
        <v/>
      </c>
      <c r="F74" s="9" t="str">
        <f t="shared" ref="F74:F76" si="34">IF(C74="","",YEAR(C74))</f>
        <v/>
      </c>
      <c r="G74" s="9"/>
      <c r="H74" s="32" t="s">
        <v>124</v>
      </c>
      <c r="I74" s="25" t="s">
        <v>57</v>
      </c>
      <c r="K74" s="25" t="s">
        <v>51</v>
      </c>
      <c r="L74" s="34"/>
      <c r="M74" s="47"/>
      <c r="N74" s="58"/>
      <c r="O74" s="27">
        <v>0</v>
      </c>
      <c r="P74" s="27">
        <f>O74*$P$5</f>
        <v>0</v>
      </c>
      <c r="Q74" s="27">
        <f t="shared" ref="Q74:Q76" si="35">O74+P74</f>
        <v>0</v>
      </c>
      <c r="R74" s="35">
        <f>R83+Q74</f>
        <v>0</v>
      </c>
      <c r="U74" s="36"/>
    </row>
    <row r="75" spans="2:21" s="25" customFormat="1" ht="15">
      <c r="B75" s="31">
        <f>B74+1</f>
        <v>2</v>
      </c>
      <c r="C75" s="32"/>
      <c r="D75" s="32"/>
      <c r="E75" s="9" t="str">
        <f t="shared" si="33"/>
        <v/>
      </c>
      <c r="F75" s="9" t="str">
        <f t="shared" si="34"/>
        <v/>
      </c>
      <c r="G75" s="9"/>
      <c r="H75" s="32" t="s">
        <v>124</v>
      </c>
      <c r="I75" s="25" t="s">
        <v>57</v>
      </c>
      <c r="J75" s="25" t="s">
        <v>195</v>
      </c>
      <c r="K75" s="25" t="s">
        <v>30</v>
      </c>
      <c r="L75" s="34"/>
      <c r="M75" s="47" t="s">
        <v>51</v>
      </c>
      <c r="N75" s="58"/>
      <c r="O75" s="27">
        <v>0</v>
      </c>
      <c r="P75" s="27">
        <f t="shared" ref="P75:P76" si="36">O75*$P$5</f>
        <v>0</v>
      </c>
      <c r="Q75" s="27">
        <f t="shared" si="35"/>
        <v>0</v>
      </c>
      <c r="R75" s="35">
        <f>R74+Q75</f>
        <v>0</v>
      </c>
      <c r="U75" s="36"/>
    </row>
    <row r="76" spans="2:21" s="25" customFormat="1" ht="15">
      <c r="B76" s="31">
        <f>B75+1</f>
        <v>3</v>
      </c>
      <c r="C76" s="32"/>
      <c r="D76" s="32"/>
      <c r="E76" s="9" t="str">
        <f t="shared" si="33"/>
        <v/>
      </c>
      <c r="F76" s="9" t="str">
        <f t="shared" si="34"/>
        <v/>
      </c>
      <c r="G76" s="9"/>
      <c r="H76" s="32" t="s">
        <v>124</v>
      </c>
      <c r="I76" s="25" t="s">
        <v>57</v>
      </c>
      <c r="J76" s="25" t="s">
        <v>83</v>
      </c>
      <c r="K76" s="25" t="s">
        <v>51</v>
      </c>
      <c r="L76" s="34"/>
      <c r="M76" s="47" t="s">
        <v>30</v>
      </c>
      <c r="N76" s="58"/>
      <c r="O76" s="27">
        <f>-O75</f>
        <v>0</v>
      </c>
      <c r="P76" s="27">
        <f t="shared" si="36"/>
        <v>0</v>
      </c>
      <c r="Q76" s="27">
        <f t="shared" si="35"/>
        <v>0</v>
      </c>
      <c r="R76" s="35">
        <f>R75+Q76</f>
        <v>0</v>
      </c>
      <c r="U76" s="36"/>
    </row>
    <row r="80" spans="2:21">
      <c r="I80" s="15" t="s">
        <v>125</v>
      </c>
    </row>
    <row r="81" spans="9:9">
      <c r="I81" s="15" t="s">
        <v>181</v>
      </c>
    </row>
    <row r="82" spans="9:9">
      <c r="I82" s="15" t="s">
        <v>182</v>
      </c>
    </row>
  </sheetData>
  <autoFilter ref="B6:R72" xr:uid="{00000000-0009-0000-0000-000000000000}"/>
  <mergeCells count="1">
    <mergeCell ref="Q5:R5"/>
  </mergeCells>
  <pageMargins left="0.25" right="0.25" top="0.75" bottom="0.75" header="0.3" footer="0.3"/>
  <pageSetup paperSize="9" scale="83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0"/>
  <sheetViews>
    <sheetView zoomScaleNormal="100" workbookViewId="0">
      <pane ySplit="1" topLeftCell="A31" activePane="bottomLeft" state="frozen"/>
      <selection pane="bottomLeft" activeCell="K47" sqref="K47"/>
    </sheetView>
  </sheetViews>
  <sheetFormatPr defaultColWidth="9.140625" defaultRowHeight="15"/>
  <cols>
    <col min="1" max="2" width="10.7109375" style="6" bestFit="1" customWidth="1"/>
    <col min="3" max="3" width="7.42578125" style="7" customWidth="1"/>
    <col min="4" max="5" width="7" style="7" customWidth="1"/>
    <col min="6" max="6" width="16.28515625" style="22" customWidth="1"/>
    <col min="7" max="7" width="9.7109375" style="7" customWidth="1"/>
    <col min="8" max="8" width="7.7109375" style="7" customWidth="1"/>
    <col min="9" max="9" width="14" style="8" customWidth="1"/>
    <col min="10" max="10" width="9.7109375" style="21" customWidth="1"/>
    <col min="11" max="11" width="10.42578125" style="8" customWidth="1"/>
    <col min="12" max="12" width="13.85546875" style="8" bestFit="1" customWidth="1"/>
    <col min="13" max="13" width="13.85546875" style="8" customWidth="1"/>
    <col min="14" max="14" width="6.42578125" style="9" customWidth="1"/>
    <col min="15" max="15" width="29.140625" customWidth="1"/>
    <col min="16" max="16" width="20.5703125" customWidth="1"/>
    <col min="17" max="17" width="31.7109375" customWidth="1"/>
    <col min="18" max="18" width="16.85546875" customWidth="1"/>
    <col min="19" max="19" width="44.85546875" customWidth="1"/>
    <col min="20" max="20" width="26.5703125" style="56" customWidth="1"/>
    <col min="21" max="21" width="24.7109375" customWidth="1"/>
    <col min="22" max="22" width="8.28515625" bestFit="1" customWidth="1"/>
    <col min="23" max="23" width="25.85546875" customWidth="1"/>
    <col min="24" max="25" width="7" style="9" customWidth="1"/>
    <col min="26" max="26" width="17.7109375" customWidth="1"/>
    <col min="28" max="29" width="10.7109375" bestFit="1" customWidth="1"/>
  </cols>
  <sheetData>
    <row r="1" spans="1:25">
      <c r="A1" s="1" t="s">
        <v>0</v>
      </c>
      <c r="B1" s="1" t="s">
        <v>1</v>
      </c>
      <c r="C1" s="2" t="s">
        <v>2</v>
      </c>
      <c r="D1" s="2" t="s">
        <v>3</v>
      </c>
      <c r="E1" s="2" t="s">
        <v>180</v>
      </c>
      <c r="F1" s="44" t="s">
        <v>52</v>
      </c>
      <c r="G1" s="2" t="s">
        <v>39</v>
      </c>
      <c r="H1" s="2" t="s">
        <v>40</v>
      </c>
      <c r="I1" s="3" t="s">
        <v>34</v>
      </c>
      <c r="J1" s="20" t="s">
        <v>36</v>
      </c>
      <c r="K1" s="3" t="s">
        <v>35</v>
      </c>
      <c r="L1" s="3" t="s">
        <v>4</v>
      </c>
      <c r="M1" s="3" t="s">
        <v>10</v>
      </c>
      <c r="N1" s="5" t="s">
        <v>7</v>
      </c>
      <c r="O1" s="5" t="s">
        <v>8</v>
      </c>
      <c r="P1" s="4" t="s">
        <v>45</v>
      </c>
      <c r="Q1" s="4" t="s">
        <v>6</v>
      </c>
      <c r="R1" s="4" t="s">
        <v>48</v>
      </c>
      <c r="S1" s="4" t="s">
        <v>5</v>
      </c>
      <c r="T1" s="55" t="s">
        <v>70</v>
      </c>
      <c r="U1" s="4" t="s">
        <v>32</v>
      </c>
      <c r="V1" s="5" t="s">
        <v>9</v>
      </c>
      <c r="W1" s="4" t="s">
        <v>14</v>
      </c>
      <c r="X1" s="5" t="s">
        <v>87</v>
      </c>
      <c r="Y1" s="5" t="s">
        <v>38</v>
      </c>
    </row>
    <row r="2" spans="1:25">
      <c r="A2" s="6">
        <v>45898</v>
      </c>
      <c r="B2" s="6">
        <v>45898</v>
      </c>
      <c r="C2" s="7">
        <f t="shared" ref="C2" si="0">IF(B2="","",MONTH(B2))</f>
        <v>8</v>
      </c>
      <c r="D2" s="7">
        <f t="shared" ref="D2" si="1">IF(B2="","",YEAR(B2))</f>
        <v>2025</v>
      </c>
      <c r="E2" s="7">
        <v>2025</v>
      </c>
      <c r="F2" s="46"/>
      <c r="H2" s="7" t="s">
        <v>41</v>
      </c>
      <c r="I2" s="8">
        <v>1000</v>
      </c>
      <c r="L2" s="8">
        <f>I2+K2</f>
        <v>1000</v>
      </c>
      <c r="M2" s="8">
        <f>L2</f>
        <v>1000</v>
      </c>
      <c r="N2" s="9" t="s">
        <v>11</v>
      </c>
      <c r="O2" t="s">
        <v>43</v>
      </c>
      <c r="P2" t="s">
        <v>44</v>
      </c>
      <c r="Q2" t="s">
        <v>46</v>
      </c>
      <c r="S2" t="s">
        <v>47</v>
      </c>
      <c r="U2" t="s">
        <v>203</v>
      </c>
      <c r="V2" t="s">
        <v>82</v>
      </c>
      <c r="W2" t="s">
        <v>203</v>
      </c>
      <c r="X2" s="9" t="s">
        <v>88</v>
      </c>
    </row>
    <row r="3" spans="1:25">
      <c r="A3" s="6">
        <v>45901</v>
      </c>
      <c r="B3" s="6">
        <v>45901</v>
      </c>
      <c r="C3" s="7">
        <f>IF(B3="","",MONTH(B3))</f>
        <v>9</v>
      </c>
      <c r="D3" s="7">
        <f>IF(B3="","",YEAR(B3))</f>
        <v>2025</v>
      </c>
      <c r="E3" s="7">
        <v>2025</v>
      </c>
      <c r="F3" s="46"/>
      <c r="H3" s="7" t="s">
        <v>41</v>
      </c>
      <c r="I3" s="8">
        <v>10000</v>
      </c>
      <c r="L3" s="8">
        <f>I3+K3</f>
        <v>10000</v>
      </c>
      <c r="M3" s="8">
        <f>M2+L3</f>
        <v>11000</v>
      </c>
      <c r="N3" s="9" t="s">
        <v>11</v>
      </c>
      <c r="O3" t="s">
        <v>43</v>
      </c>
      <c r="P3" t="s">
        <v>44</v>
      </c>
      <c r="Q3" t="s">
        <v>46</v>
      </c>
      <c r="S3" t="s">
        <v>47</v>
      </c>
      <c r="U3" t="s">
        <v>30</v>
      </c>
      <c r="V3" t="s">
        <v>82</v>
      </c>
      <c r="W3" t="s">
        <v>30</v>
      </c>
      <c r="X3" s="9" t="s">
        <v>88</v>
      </c>
    </row>
    <row r="4" spans="1:25">
      <c r="A4" s="6">
        <v>45747</v>
      </c>
      <c r="B4" s="6">
        <v>45902</v>
      </c>
      <c r="C4" s="7">
        <f t="shared" ref="C4" si="2">IF(B4="","",MONTH(B4))</f>
        <v>9</v>
      </c>
      <c r="D4" s="7">
        <f t="shared" ref="D4" si="3">IF(B4="","",YEAR(B4))</f>
        <v>2025</v>
      </c>
      <c r="E4" s="7">
        <v>2025</v>
      </c>
      <c r="F4" s="46"/>
      <c r="H4" s="7" t="s">
        <v>41</v>
      </c>
      <c r="I4" s="8">
        <v>-105.91</v>
      </c>
      <c r="J4" s="21">
        <v>0.17</v>
      </c>
      <c r="K4" s="8">
        <f t="shared" ref="K4:K5" si="4">I4*J4</f>
        <v>-18.0047</v>
      </c>
      <c r="L4" s="8">
        <f t="shared" ref="L4:L18" si="5">I4+K4</f>
        <v>-123.9147</v>
      </c>
      <c r="M4" s="8">
        <f t="shared" ref="M4:M22" si="6">M3+L4</f>
        <v>10876.085300000001</v>
      </c>
      <c r="N4" s="9" t="s">
        <v>16</v>
      </c>
      <c r="O4" t="s">
        <v>17</v>
      </c>
      <c r="Q4" t="s">
        <v>42</v>
      </c>
      <c r="S4" t="s">
        <v>67</v>
      </c>
      <c r="T4" s="56" t="s">
        <v>75</v>
      </c>
      <c r="U4" t="s">
        <v>50</v>
      </c>
      <c r="W4" t="s">
        <v>51</v>
      </c>
      <c r="X4" s="9" t="s">
        <v>88</v>
      </c>
      <c r="Y4" s="9" t="s">
        <v>37</v>
      </c>
    </row>
    <row r="5" spans="1:25">
      <c r="A5" s="6">
        <v>45747</v>
      </c>
      <c r="B5" s="6">
        <v>45902</v>
      </c>
      <c r="C5" s="7">
        <f t="shared" ref="C5" si="7">IF(B5="","",MONTH(B5))</f>
        <v>9</v>
      </c>
      <c r="D5" s="7">
        <f t="shared" ref="D5" si="8">IF(B5="","",YEAR(B5))</f>
        <v>2025</v>
      </c>
      <c r="E5" s="7">
        <v>2025</v>
      </c>
      <c r="F5" s="46"/>
      <c r="H5" s="7" t="s">
        <v>41</v>
      </c>
      <c r="I5" s="8">
        <v>-12</v>
      </c>
      <c r="J5" s="21">
        <v>0</v>
      </c>
      <c r="K5" s="8">
        <f t="shared" si="4"/>
        <v>0</v>
      </c>
      <c r="L5" s="8">
        <f t="shared" si="5"/>
        <v>-12</v>
      </c>
      <c r="M5" s="8">
        <f t="shared" si="6"/>
        <v>10864.085300000001</v>
      </c>
      <c r="N5" s="9" t="s">
        <v>16</v>
      </c>
      <c r="O5" t="s">
        <v>17</v>
      </c>
      <c r="Q5" t="s">
        <v>42</v>
      </c>
      <c r="S5" t="s">
        <v>49</v>
      </c>
      <c r="T5" s="56" t="s">
        <v>75</v>
      </c>
      <c r="U5" t="s">
        <v>50</v>
      </c>
      <c r="W5" t="s">
        <v>51</v>
      </c>
      <c r="X5" s="9" t="s">
        <v>88</v>
      </c>
      <c r="Y5" s="9" t="s">
        <v>37</v>
      </c>
    </row>
    <row r="6" spans="1:25">
      <c r="A6" s="6">
        <v>45754</v>
      </c>
      <c r="B6" s="6">
        <v>45902</v>
      </c>
      <c r="C6" s="7">
        <f t="shared" ref="C6" si="9">IF(B6="","",MONTH(B6))</f>
        <v>9</v>
      </c>
      <c r="D6" s="7">
        <f t="shared" ref="D6" si="10">IF(B6="","",YEAR(B6))</f>
        <v>2025</v>
      </c>
      <c r="E6" s="7">
        <v>2025</v>
      </c>
      <c r="F6" s="46"/>
      <c r="H6" s="7" t="s">
        <v>41</v>
      </c>
      <c r="I6" s="8">
        <v>-21.43</v>
      </c>
      <c r="J6" s="21">
        <v>0.17</v>
      </c>
      <c r="K6" s="8">
        <f t="shared" ref="K6" si="11">I6*J6</f>
        <v>-3.6431</v>
      </c>
      <c r="L6" s="8">
        <f t="shared" si="5"/>
        <v>-25.0731</v>
      </c>
      <c r="M6" s="8">
        <f t="shared" si="6"/>
        <v>10839.012200000001</v>
      </c>
      <c r="N6" s="9" t="s">
        <v>16</v>
      </c>
      <c r="O6" t="s">
        <v>17</v>
      </c>
      <c r="Q6" t="s">
        <v>42</v>
      </c>
      <c r="S6" t="s">
        <v>204</v>
      </c>
      <c r="T6" s="56" t="s">
        <v>71</v>
      </c>
      <c r="U6" t="s">
        <v>50</v>
      </c>
      <c r="W6" t="s">
        <v>51</v>
      </c>
      <c r="X6" s="9" t="s">
        <v>88</v>
      </c>
      <c r="Y6" s="9" t="s">
        <v>37</v>
      </c>
    </row>
    <row r="7" spans="1:25">
      <c r="A7" s="6">
        <v>45754</v>
      </c>
      <c r="B7" s="6">
        <v>45902</v>
      </c>
      <c r="C7" s="7">
        <f t="shared" ref="C7:C8" si="12">IF(B7="","",MONTH(B7))</f>
        <v>9</v>
      </c>
      <c r="D7" s="7">
        <f t="shared" ref="D7:D8" si="13">IF(B7="","",YEAR(B7))</f>
        <v>2025</v>
      </c>
      <c r="E7" s="7">
        <v>2025</v>
      </c>
      <c r="F7" s="46"/>
      <c r="G7" s="23"/>
      <c r="H7" s="7" t="s">
        <v>41</v>
      </c>
      <c r="I7" s="8">
        <v>-15</v>
      </c>
      <c r="J7" s="21">
        <v>0.17</v>
      </c>
      <c r="K7" s="8">
        <f t="shared" ref="K7" si="14">I7*J7</f>
        <v>-2.5500000000000003</v>
      </c>
      <c r="L7" s="8">
        <f t="shared" si="5"/>
        <v>-17.55</v>
      </c>
      <c r="M7" s="8">
        <f t="shared" si="6"/>
        <v>10821.462200000002</v>
      </c>
      <c r="N7" s="9" t="s">
        <v>16</v>
      </c>
      <c r="O7" t="s">
        <v>17</v>
      </c>
      <c r="Q7" t="s">
        <v>42</v>
      </c>
      <c r="S7" t="s">
        <v>196</v>
      </c>
      <c r="T7" s="56" t="s">
        <v>72</v>
      </c>
      <c r="U7" t="s">
        <v>68</v>
      </c>
      <c r="W7" t="s">
        <v>51</v>
      </c>
      <c r="X7" s="9" t="s">
        <v>88</v>
      </c>
      <c r="Y7" s="9" t="s">
        <v>37</v>
      </c>
    </row>
    <row r="8" spans="1:25">
      <c r="A8" s="6">
        <v>45754</v>
      </c>
      <c r="B8" s="6">
        <v>45902</v>
      </c>
      <c r="C8" s="7">
        <f t="shared" si="12"/>
        <v>9</v>
      </c>
      <c r="D8" s="7">
        <f t="shared" si="13"/>
        <v>2025</v>
      </c>
      <c r="E8" s="7">
        <v>2025</v>
      </c>
      <c r="F8" s="46"/>
      <c r="G8" s="23"/>
      <c r="H8" s="7" t="s">
        <v>41</v>
      </c>
      <c r="I8" s="8">
        <v>-60</v>
      </c>
      <c r="J8" s="21">
        <v>0</v>
      </c>
      <c r="K8" s="8">
        <f t="shared" ref="K8:K9" si="15">I8*J8</f>
        <v>0</v>
      </c>
      <c r="L8" s="8">
        <f t="shared" si="5"/>
        <v>-60</v>
      </c>
      <c r="M8" s="8">
        <f t="shared" si="6"/>
        <v>10761.462200000002</v>
      </c>
      <c r="N8" s="9" t="s">
        <v>16</v>
      </c>
      <c r="O8" t="s">
        <v>17</v>
      </c>
      <c r="Q8" t="s">
        <v>42</v>
      </c>
      <c r="S8" t="s">
        <v>205</v>
      </c>
      <c r="T8" s="56" t="s">
        <v>73</v>
      </c>
      <c r="U8" t="s">
        <v>206</v>
      </c>
      <c r="W8" t="s">
        <v>51</v>
      </c>
      <c r="X8" s="9" t="s">
        <v>88</v>
      </c>
      <c r="Y8" s="9" t="s">
        <v>37</v>
      </c>
    </row>
    <row r="9" spans="1:25">
      <c r="A9" s="6">
        <v>45755</v>
      </c>
      <c r="B9" s="6">
        <v>45902</v>
      </c>
      <c r="C9" s="7">
        <f t="shared" ref="C9:C10" si="16">IF(B9="","",MONTH(B9))</f>
        <v>9</v>
      </c>
      <c r="D9" s="7">
        <f t="shared" ref="D9:D10" si="17">IF(B9="","",YEAR(B9))</f>
        <v>2025</v>
      </c>
      <c r="E9" s="7">
        <v>2025</v>
      </c>
      <c r="F9" s="46"/>
      <c r="G9" s="23"/>
      <c r="H9" s="7" t="s">
        <v>41</v>
      </c>
      <c r="I9" s="8">
        <v>-40</v>
      </c>
      <c r="J9" s="21">
        <v>0</v>
      </c>
      <c r="K9" s="8">
        <f t="shared" si="15"/>
        <v>0</v>
      </c>
      <c r="L9" s="8">
        <f t="shared" si="5"/>
        <v>-40</v>
      </c>
      <c r="M9" s="8">
        <f t="shared" si="6"/>
        <v>10721.462200000002</v>
      </c>
      <c r="N9" s="9" t="s">
        <v>16</v>
      </c>
      <c r="O9" t="s">
        <v>17</v>
      </c>
      <c r="Q9" t="s">
        <v>42</v>
      </c>
      <c r="S9" t="s">
        <v>205</v>
      </c>
      <c r="T9" s="56" t="s">
        <v>74</v>
      </c>
      <c r="U9" t="s">
        <v>206</v>
      </c>
      <c r="W9" t="s">
        <v>51</v>
      </c>
      <c r="X9" s="9" t="s">
        <v>88</v>
      </c>
      <c r="Y9" s="9" t="s">
        <v>37</v>
      </c>
    </row>
    <row r="10" spans="1:25">
      <c r="A10" s="6">
        <v>45779</v>
      </c>
      <c r="B10" s="6">
        <v>45902</v>
      </c>
      <c r="C10" s="7">
        <f t="shared" si="16"/>
        <v>9</v>
      </c>
      <c r="D10" s="7">
        <f t="shared" si="17"/>
        <v>2025</v>
      </c>
      <c r="E10" s="7">
        <v>2025</v>
      </c>
      <c r="F10" s="46"/>
      <c r="G10" s="23"/>
      <c r="H10" s="7" t="s">
        <v>41</v>
      </c>
      <c r="I10" s="8">
        <v>-25.64</v>
      </c>
      <c r="J10" s="21">
        <v>0.17</v>
      </c>
      <c r="K10" s="8">
        <f t="shared" ref="K10" si="18">I10*J10</f>
        <v>-4.3588000000000005</v>
      </c>
      <c r="L10" s="8">
        <f t="shared" si="5"/>
        <v>-29.998800000000003</v>
      </c>
      <c r="M10" s="8">
        <f t="shared" si="6"/>
        <v>10691.463400000002</v>
      </c>
      <c r="N10" s="9" t="s">
        <v>16</v>
      </c>
      <c r="O10" t="s">
        <v>17</v>
      </c>
      <c r="Q10" t="s">
        <v>42</v>
      </c>
      <c r="S10" t="s">
        <v>202</v>
      </c>
      <c r="T10" s="56" t="s">
        <v>76</v>
      </c>
      <c r="U10" t="s">
        <v>33</v>
      </c>
      <c r="W10" t="s">
        <v>51</v>
      </c>
      <c r="X10" s="9" t="s">
        <v>88</v>
      </c>
      <c r="Y10" s="9" t="s">
        <v>37</v>
      </c>
    </row>
    <row r="11" spans="1:25">
      <c r="A11" s="6">
        <v>45796</v>
      </c>
      <c r="B11" s="6">
        <v>45902</v>
      </c>
      <c r="C11" s="7">
        <f t="shared" ref="C11:C13" si="19">IF(B11="","",MONTH(B11))</f>
        <v>9</v>
      </c>
      <c r="D11" s="7">
        <f t="shared" ref="D11:D13" si="20">IF(B11="","",YEAR(B11))</f>
        <v>2025</v>
      </c>
      <c r="E11" s="7">
        <v>2025</v>
      </c>
      <c r="F11" s="46"/>
      <c r="G11" s="23"/>
      <c r="H11" s="7" t="s">
        <v>41</v>
      </c>
      <c r="I11" s="8">
        <v>-96.92</v>
      </c>
      <c r="J11" s="21">
        <v>0.17</v>
      </c>
      <c r="K11" s="8">
        <f t="shared" ref="K11:K13" si="21">I11*J11</f>
        <v>-16.476400000000002</v>
      </c>
      <c r="L11" s="8">
        <f t="shared" si="5"/>
        <v>-113.3964</v>
      </c>
      <c r="M11" s="8">
        <f t="shared" si="6"/>
        <v>10578.067000000003</v>
      </c>
      <c r="N11" s="9" t="s">
        <v>16</v>
      </c>
      <c r="O11" t="s">
        <v>17</v>
      </c>
      <c r="Q11" t="s">
        <v>42</v>
      </c>
      <c r="S11" t="s">
        <v>202</v>
      </c>
      <c r="T11" s="56" t="s">
        <v>77</v>
      </c>
      <c r="U11" t="s">
        <v>33</v>
      </c>
      <c r="W11" t="s">
        <v>51</v>
      </c>
      <c r="X11" s="9" t="s">
        <v>88</v>
      </c>
      <c r="Y11" s="9" t="s">
        <v>37</v>
      </c>
    </row>
    <row r="12" spans="1:25">
      <c r="A12" s="6">
        <v>45796</v>
      </c>
      <c r="B12" s="6">
        <v>45902</v>
      </c>
      <c r="C12" s="7">
        <f t="shared" si="19"/>
        <v>9</v>
      </c>
      <c r="D12" s="7">
        <f t="shared" si="20"/>
        <v>2025</v>
      </c>
      <c r="E12" s="7">
        <v>2025</v>
      </c>
      <c r="F12" s="46"/>
      <c r="G12" s="23"/>
      <c r="H12" s="7" t="s">
        <v>41</v>
      </c>
      <c r="I12" s="8">
        <v>-60</v>
      </c>
      <c r="J12" s="21">
        <v>0</v>
      </c>
      <c r="K12" s="8">
        <f t="shared" si="21"/>
        <v>0</v>
      </c>
      <c r="L12" s="8">
        <f t="shared" si="5"/>
        <v>-60</v>
      </c>
      <c r="M12" s="8">
        <f t="shared" si="6"/>
        <v>10518.067000000003</v>
      </c>
      <c r="N12" s="9" t="s">
        <v>16</v>
      </c>
      <c r="O12" t="s">
        <v>17</v>
      </c>
      <c r="Q12" t="s">
        <v>42</v>
      </c>
      <c r="S12" t="s">
        <v>202</v>
      </c>
      <c r="T12" s="56" t="s">
        <v>77</v>
      </c>
      <c r="U12" t="s">
        <v>33</v>
      </c>
      <c r="W12" t="s">
        <v>51</v>
      </c>
      <c r="X12" s="9" t="s">
        <v>88</v>
      </c>
      <c r="Y12" s="9" t="s">
        <v>37</v>
      </c>
    </row>
    <row r="13" spans="1:25">
      <c r="A13" s="6">
        <v>45860</v>
      </c>
      <c r="B13" s="6">
        <v>45902</v>
      </c>
      <c r="C13" s="7">
        <f t="shared" si="19"/>
        <v>9</v>
      </c>
      <c r="D13" s="7">
        <f t="shared" si="20"/>
        <v>2025</v>
      </c>
      <c r="E13" s="7">
        <v>2025</v>
      </c>
      <c r="F13" s="46"/>
      <c r="G13" s="23"/>
      <c r="H13" s="7" t="s">
        <v>41</v>
      </c>
      <c r="I13" s="8">
        <v>-15</v>
      </c>
      <c r="J13" s="21">
        <v>0.17</v>
      </c>
      <c r="K13" s="8">
        <f t="shared" si="21"/>
        <v>-2.5500000000000003</v>
      </c>
      <c r="L13" s="8">
        <f t="shared" si="5"/>
        <v>-17.55</v>
      </c>
      <c r="M13" s="8">
        <f t="shared" si="6"/>
        <v>10500.517000000003</v>
      </c>
      <c r="N13" s="9" t="s">
        <v>16</v>
      </c>
      <c r="O13" t="s">
        <v>17</v>
      </c>
      <c r="Q13" t="s">
        <v>42</v>
      </c>
      <c r="S13" t="s">
        <v>196</v>
      </c>
      <c r="T13" s="56" t="s">
        <v>78</v>
      </c>
      <c r="U13" t="s">
        <v>68</v>
      </c>
      <c r="W13" t="s">
        <v>51</v>
      </c>
      <c r="X13" s="9" t="s">
        <v>88</v>
      </c>
      <c r="Y13" s="9" t="s">
        <v>37</v>
      </c>
    </row>
    <row r="14" spans="1:25">
      <c r="A14" s="6">
        <v>45902</v>
      </c>
      <c r="B14" s="6">
        <v>45902</v>
      </c>
      <c r="C14" s="7">
        <f t="shared" ref="C14" si="22">IF(B14="","",MONTH(B14))</f>
        <v>9</v>
      </c>
      <c r="D14" s="7">
        <f t="shared" ref="D14" si="23">IF(B14="","",YEAR(B14))</f>
        <v>2025</v>
      </c>
      <c r="E14" s="7">
        <v>2025</v>
      </c>
      <c r="F14" s="46"/>
      <c r="G14" s="23"/>
      <c r="H14" s="7" t="s">
        <v>41</v>
      </c>
      <c r="I14" s="8">
        <f>-SUM(I4:I13)</f>
        <v>451.90000000000003</v>
      </c>
      <c r="J14" s="21">
        <v>0.17</v>
      </c>
      <c r="K14" s="8">
        <f t="shared" ref="K14" si="24">-SUM(K4:K13)</f>
        <v>47.582999999999998</v>
      </c>
      <c r="L14" s="8">
        <f t="shared" si="5"/>
        <v>499.48300000000006</v>
      </c>
      <c r="M14" s="8">
        <f t="shared" si="6"/>
        <v>11000.000000000004</v>
      </c>
      <c r="N14" s="9" t="s">
        <v>16</v>
      </c>
      <c r="O14" t="s">
        <v>17</v>
      </c>
      <c r="Q14" t="s">
        <v>42</v>
      </c>
      <c r="S14" t="s">
        <v>84</v>
      </c>
      <c r="U14" t="s">
        <v>30</v>
      </c>
      <c r="V14" t="s">
        <v>82</v>
      </c>
      <c r="W14" t="s">
        <v>51</v>
      </c>
      <c r="X14" s="9" t="s">
        <v>88</v>
      </c>
      <c r="Y14" s="9" t="s">
        <v>37</v>
      </c>
    </row>
    <row r="15" spans="1:25">
      <c r="A15" s="6">
        <v>45902</v>
      </c>
      <c r="B15" s="6">
        <v>45902</v>
      </c>
      <c r="C15" s="7">
        <f t="shared" ref="C15" si="25">IF(B15="","",MONTH(B15))</f>
        <v>9</v>
      </c>
      <c r="D15" s="7">
        <f t="shared" ref="D15" si="26">IF(B15="","",YEAR(B15))</f>
        <v>2025</v>
      </c>
      <c r="E15" s="7">
        <v>2025</v>
      </c>
      <c r="F15" s="46"/>
      <c r="G15" s="23"/>
      <c r="H15" s="7" t="s">
        <v>41</v>
      </c>
      <c r="I15" s="8">
        <f>-I14</f>
        <v>-451.90000000000003</v>
      </c>
      <c r="J15" s="21">
        <v>0.17</v>
      </c>
      <c r="K15" s="8">
        <f t="shared" ref="K15" si="27">-K14</f>
        <v>-47.582999999999998</v>
      </c>
      <c r="L15" s="8">
        <f t="shared" si="5"/>
        <v>-499.48300000000006</v>
      </c>
      <c r="M15" s="8">
        <f t="shared" si="6"/>
        <v>10500.517000000003</v>
      </c>
      <c r="N15" s="9" t="s">
        <v>16</v>
      </c>
      <c r="O15" t="s">
        <v>17</v>
      </c>
      <c r="Q15" t="s">
        <v>42</v>
      </c>
      <c r="S15" t="s">
        <v>84</v>
      </c>
      <c r="U15" t="s">
        <v>30</v>
      </c>
      <c r="V15" t="s">
        <v>82</v>
      </c>
      <c r="W15" t="s">
        <v>51</v>
      </c>
      <c r="X15" s="9" t="s">
        <v>88</v>
      </c>
      <c r="Y15" s="9" t="s">
        <v>37</v>
      </c>
    </row>
    <row r="16" spans="1:25">
      <c r="A16" s="6">
        <v>45909</v>
      </c>
      <c r="B16" s="6">
        <v>45909</v>
      </c>
      <c r="C16" s="7">
        <f t="shared" ref="C16" si="28">IF(B16="","",MONTH(B16))</f>
        <v>9</v>
      </c>
      <c r="D16" s="7">
        <f t="shared" ref="D16" si="29">IF(B16="","",YEAR(B16))</f>
        <v>2025</v>
      </c>
      <c r="E16" s="7">
        <v>2025</v>
      </c>
      <c r="F16" s="46"/>
      <c r="H16" s="7" t="s">
        <v>41</v>
      </c>
      <c r="I16" s="8">
        <v>10000</v>
      </c>
      <c r="L16" s="8">
        <f t="shared" si="5"/>
        <v>10000</v>
      </c>
      <c r="M16" s="8">
        <f t="shared" si="6"/>
        <v>20500.517000000003</v>
      </c>
      <c r="N16" s="9" t="s">
        <v>11</v>
      </c>
      <c r="O16" t="s">
        <v>43</v>
      </c>
      <c r="P16" t="s">
        <v>44</v>
      </c>
      <c r="Q16" t="s">
        <v>46</v>
      </c>
      <c r="S16" t="s">
        <v>47</v>
      </c>
      <c r="U16" t="s">
        <v>30</v>
      </c>
      <c r="V16" t="s">
        <v>82</v>
      </c>
      <c r="W16" t="s">
        <v>30</v>
      </c>
      <c r="X16" s="9" t="s">
        <v>88</v>
      </c>
    </row>
    <row r="17" spans="1:24">
      <c r="A17" s="6">
        <v>45929</v>
      </c>
      <c r="B17" s="6">
        <v>45929</v>
      </c>
      <c r="C17" s="7">
        <f t="shared" ref="C17:C21" si="30">IF(B17="","",MONTH(B17))</f>
        <v>9</v>
      </c>
      <c r="D17" s="7">
        <f t="shared" ref="D17:D21" si="31">IF(B17="","",YEAR(B17))</f>
        <v>2025</v>
      </c>
      <c r="E17" s="7">
        <v>2025</v>
      </c>
      <c r="F17" s="46"/>
      <c r="H17" s="7" t="s">
        <v>41</v>
      </c>
      <c r="I17" s="8">
        <v>20000</v>
      </c>
      <c r="L17" s="8">
        <f t="shared" si="5"/>
        <v>20000</v>
      </c>
      <c r="M17" s="8">
        <f t="shared" si="6"/>
        <v>40500.517000000007</v>
      </c>
      <c r="N17" s="9" t="s">
        <v>11</v>
      </c>
      <c r="O17" t="s">
        <v>43</v>
      </c>
      <c r="P17" t="s">
        <v>44</v>
      </c>
      <c r="Q17" t="s">
        <v>46</v>
      </c>
      <c r="S17" t="s">
        <v>47</v>
      </c>
      <c r="U17" t="s">
        <v>31</v>
      </c>
      <c r="V17" t="s">
        <v>82</v>
      </c>
      <c r="W17" t="s">
        <v>31</v>
      </c>
      <c r="X17" s="9" t="s">
        <v>88</v>
      </c>
    </row>
    <row r="18" spans="1:24">
      <c r="A18" s="6">
        <v>45931</v>
      </c>
      <c r="B18" s="6">
        <v>45931</v>
      </c>
      <c r="C18" s="7">
        <f t="shared" si="30"/>
        <v>10</v>
      </c>
      <c r="D18" s="7">
        <f t="shared" si="31"/>
        <v>2025</v>
      </c>
      <c r="E18" s="7">
        <v>2025</v>
      </c>
      <c r="F18" s="46"/>
      <c r="H18" s="7" t="s">
        <v>41</v>
      </c>
      <c r="I18" s="8">
        <v>20000</v>
      </c>
      <c r="L18" s="8">
        <f t="shared" si="5"/>
        <v>20000</v>
      </c>
      <c r="M18" s="8">
        <f t="shared" si="6"/>
        <v>60500.517000000007</v>
      </c>
      <c r="N18" s="9" t="s">
        <v>11</v>
      </c>
      <c r="O18" t="s">
        <v>43</v>
      </c>
      <c r="P18" t="s">
        <v>44</v>
      </c>
      <c r="Q18" t="s">
        <v>46</v>
      </c>
      <c r="S18" t="s">
        <v>47</v>
      </c>
      <c r="U18" t="s">
        <v>30</v>
      </c>
      <c r="V18" t="s">
        <v>82</v>
      </c>
      <c r="W18" t="s">
        <v>30</v>
      </c>
      <c r="X18" s="9" t="s">
        <v>88</v>
      </c>
    </row>
    <row r="19" spans="1:24">
      <c r="A19" s="6">
        <v>45945</v>
      </c>
      <c r="B19" s="6">
        <v>45945</v>
      </c>
      <c r="C19" s="7">
        <f t="shared" si="30"/>
        <v>10</v>
      </c>
      <c r="D19" s="7">
        <f t="shared" si="31"/>
        <v>2025</v>
      </c>
      <c r="E19" s="7">
        <v>2025</v>
      </c>
      <c r="F19" s="46"/>
      <c r="G19" s="23"/>
      <c r="H19" s="7" t="s">
        <v>41</v>
      </c>
      <c r="I19" s="8">
        <v>-250</v>
      </c>
      <c r="L19" s="8">
        <f t="shared" ref="L19:L21" si="32">I19+K19</f>
        <v>-250</v>
      </c>
      <c r="M19" s="8">
        <f t="shared" si="6"/>
        <v>60250.517000000007</v>
      </c>
      <c r="N19" s="9" t="s">
        <v>16</v>
      </c>
      <c r="O19" t="s">
        <v>17</v>
      </c>
      <c r="Q19" t="s">
        <v>96</v>
      </c>
      <c r="S19" t="s">
        <v>93</v>
      </c>
      <c r="U19" t="s">
        <v>95</v>
      </c>
      <c r="V19" t="s">
        <v>82</v>
      </c>
      <c r="W19" t="s">
        <v>51</v>
      </c>
      <c r="X19" s="9" t="s">
        <v>88</v>
      </c>
    </row>
    <row r="20" spans="1:24">
      <c r="A20" s="6">
        <v>45973</v>
      </c>
      <c r="B20" s="6">
        <v>45973</v>
      </c>
      <c r="C20" s="7">
        <f t="shared" si="30"/>
        <v>11</v>
      </c>
      <c r="D20" s="7">
        <f t="shared" si="31"/>
        <v>2025</v>
      </c>
      <c r="E20" s="7">
        <v>2025</v>
      </c>
      <c r="F20" s="46">
        <v>305240</v>
      </c>
      <c r="G20" s="81">
        <f>F20/-I20</f>
        <v>6.1048</v>
      </c>
      <c r="H20" s="7" t="s">
        <v>41</v>
      </c>
      <c r="I20" s="8">
        <v>-50000</v>
      </c>
      <c r="L20" s="8">
        <f t="shared" si="32"/>
        <v>-50000</v>
      </c>
      <c r="M20" s="8">
        <f t="shared" si="6"/>
        <v>10250.517000000007</v>
      </c>
      <c r="N20" s="66" t="s">
        <v>11</v>
      </c>
      <c r="O20" s="43" t="s">
        <v>103</v>
      </c>
      <c r="P20" s="68" t="s">
        <v>101</v>
      </c>
      <c r="Q20" s="68" t="s">
        <v>102</v>
      </c>
      <c r="R20" s="43"/>
      <c r="S20" s="43" t="s">
        <v>104</v>
      </c>
      <c r="T20" s="67"/>
      <c r="U20" s="43" t="s">
        <v>100</v>
      </c>
      <c r="V20" s="43" t="s">
        <v>82</v>
      </c>
      <c r="W20" s="43" t="s">
        <v>51</v>
      </c>
      <c r="X20" s="9" t="s">
        <v>88</v>
      </c>
    </row>
    <row r="21" spans="1:24">
      <c r="A21" s="6">
        <v>45973</v>
      </c>
      <c r="B21" s="6">
        <v>45973</v>
      </c>
      <c r="C21" s="7">
        <f t="shared" si="30"/>
        <v>11</v>
      </c>
      <c r="D21" s="7">
        <f t="shared" si="31"/>
        <v>2025</v>
      </c>
      <c r="E21" s="7">
        <v>2025</v>
      </c>
      <c r="F21" s="46"/>
      <c r="G21" s="23"/>
      <c r="H21" s="7" t="s">
        <v>41</v>
      </c>
      <c r="I21" s="8">
        <v>-5</v>
      </c>
      <c r="L21" s="8">
        <f t="shared" si="32"/>
        <v>-5</v>
      </c>
      <c r="M21" s="8">
        <f t="shared" si="6"/>
        <v>10245.517000000007</v>
      </c>
      <c r="N21" s="9" t="s">
        <v>16</v>
      </c>
      <c r="O21" t="s">
        <v>17</v>
      </c>
      <c r="Q21" t="s">
        <v>96</v>
      </c>
      <c r="S21" t="s">
        <v>93</v>
      </c>
      <c r="U21" t="s">
        <v>95</v>
      </c>
      <c r="V21" t="s">
        <v>82</v>
      </c>
      <c r="W21" t="s">
        <v>51</v>
      </c>
      <c r="X21" s="9" t="s">
        <v>88</v>
      </c>
    </row>
    <row r="22" spans="1:24">
      <c r="A22" s="6">
        <v>45973</v>
      </c>
      <c r="B22" s="6">
        <v>45973</v>
      </c>
      <c r="C22" s="7">
        <f t="shared" ref="C22:C27" si="33">IF(B22="","",MONTH(B22))</f>
        <v>11</v>
      </c>
      <c r="D22" s="7">
        <f t="shared" ref="D22:D27" si="34">IF(B22="","",YEAR(B22))</f>
        <v>2025</v>
      </c>
      <c r="E22" s="7">
        <v>2025</v>
      </c>
      <c r="F22" s="46"/>
      <c r="G22" s="23"/>
      <c r="H22" s="7" t="s">
        <v>41</v>
      </c>
      <c r="I22" s="8">
        <v>-4</v>
      </c>
      <c r="L22" s="8">
        <f t="shared" ref="L22:L27" si="35">I22+K22</f>
        <v>-4</v>
      </c>
      <c r="M22" s="8">
        <f t="shared" si="6"/>
        <v>10241.517000000007</v>
      </c>
      <c r="N22" s="9" t="s">
        <v>16</v>
      </c>
      <c r="O22" t="s">
        <v>17</v>
      </c>
      <c r="Q22" t="s">
        <v>96</v>
      </c>
      <c r="S22" t="s">
        <v>93</v>
      </c>
      <c r="U22" t="s">
        <v>95</v>
      </c>
      <c r="V22" t="s">
        <v>82</v>
      </c>
      <c r="W22" t="s">
        <v>51</v>
      </c>
      <c r="X22" s="9" t="s">
        <v>88</v>
      </c>
    </row>
    <row r="23" spans="1:24">
      <c r="A23" s="32">
        <v>45987</v>
      </c>
      <c r="B23" s="32">
        <v>45987</v>
      </c>
      <c r="C23" s="7">
        <f t="shared" si="33"/>
        <v>11</v>
      </c>
      <c r="D23" s="7">
        <f t="shared" si="34"/>
        <v>2025</v>
      </c>
      <c r="E23" s="7">
        <v>2025</v>
      </c>
      <c r="F23" s="46"/>
      <c r="H23" s="7" t="s">
        <v>41</v>
      </c>
      <c r="I23" s="8">
        <v>20000</v>
      </c>
      <c r="L23" s="8">
        <f t="shared" si="35"/>
        <v>20000</v>
      </c>
      <c r="M23" s="8">
        <f t="shared" ref="M23:M29" si="36">M22+L23</f>
        <v>30241.517000000007</v>
      </c>
      <c r="N23" s="9" t="s">
        <v>11</v>
      </c>
      <c r="O23" t="s">
        <v>43</v>
      </c>
      <c r="P23" t="s">
        <v>44</v>
      </c>
      <c r="Q23" t="s">
        <v>46</v>
      </c>
      <c r="S23" t="s">
        <v>47</v>
      </c>
      <c r="U23" t="s">
        <v>119</v>
      </c>
      <c r="V23" t="s">
        <v>82</v>
      </c>
      <c r="W23" t="s">
        <v>30</v>
      </c>
      <c r="X23" s="9" t="s">
        <v>88</v>
      </c>
    </row>
    <row r="24" spans="1:24">
      <c r="A24" s="32">
        <v>45987</v>
      </c>
      <c r="B24" s="32">
        <v>45987</v>
      </c>
      <c r="C24" s="7">
        <f t="shared" si="33"/>
        <v>11</v>
      </c>
      <c r="D24" s="7">
        <f t="shared" si="34"/>
        <v>2025</v>
      </c>
      <c r="E24" s="7">
        <v>2025</v>
      </c>
      <c r="F24" s="46"/>
      <c r="H24" s="7" t="s">
        <v>41</v>
      </c>
      <c r="I24" s="8">
        <v>20000</v>
      </c>
      <c r="L24" s="8">
        <f t="shared" si="35"/>
        <v>20000</v>
      </c>
      <c r="M24" s="8">
        <f t="shared" si="36"/>
        <v>50241.517000000007</v>
      </c>
      <c r="N24" s="9" t="s">
        <v>11</v>
      </c>
      <c r="O24" t="s">
        <v>43</v>
      </c>
      <c r="P24" t="s">
        <v>44</v>
      </c>
      <c r="Q24" t="s">
        <v>46</v>
      </c>
      <c r="S24" t="s">
        <v>47</v>
      </c>
      <c r="U24" t="s">
        <v>120</v>
      </c>
      <c r="V24" t="s">
        <v>82</v>
      </c>
      <c r="W24" t="s">
        <v>30</v>
      </c>
      <c r="X24" s="9" t="s">
        <v>88</v>
      </c>
    </row>
    <row r="25" spans="1:24">
      <c r="A25" s="32">
        <v>45988</v>
      </c>
      <c r="B25" s="32">
        <v>45988</v>
      </c>
      <c r="C25" s="7">
        <f t="shared" si="33"/>
        <v>11</v>
      </c>
      <c r="D25" s="7">
        <f t="shared" si="34"/>
        <v>2025</v>
      </c>
      <c r="E25" s="7">
        <v>2025</v>
      </c>
      <c r="F25" s="46"/>
      <c r="H25" s="7" t="s">
        <v>41</v>
      </c>
      <c r="I25" s="8">
        <v>40000</v>
      </c>
      <c r="L25" s="8">
        <f t="shared" si="35"/>
        <v>40000</v>
      </c>
      <c r="M25" s="8">
        <f t="shared" si="36"/>
        <v>90241.517000000007</v>
      </c>
      <c r="N25" s="9" t="s">
        <v>11</v>
      </c>
      <c r="O25" t="s">
        <v>43</v>
      </c>
      <c r="P25" t="s">
        <v>44</v>
      </c>
      <c r="Q25" t="s">
        <v>46</v>
      </c>
      <c r="S25" t="s">
        <v>47</v>
      </c>
      <c r="U25" t="s">
        <v>121</v>
      </c>
      <c r="V25" t="s">
        <v>82</v>
      </c>
      <c r="W25" t="s">
        <v>30</v>
      </c>
      <c r="X25" s="9" t="s">
        <v>88</v>
      </c>
    </row>
    <row r="26" spans="1:24">
      <c r="A26" s="6">
        <v>45993</v>
      </c>
      <c r="B26" s="6">
        <v>45993</v>
      </c>
      <c r="C26" s="7">
        <f t="shared" si="33"/>
        <v>12</v>
      </c>
      <c r="D26" s="7">
        <f t="shared" si="34"/>
        <v>2025</v>
      </c>
      <c r="E26" s="7">
        <v>2025</v>
      </c>
      <c r="F26" s="46">
        <v>306246</v>
      </c>
      <c r="G26" s="81">
        <f>F26/-I26</f>
        <v>6.1249200000000004</v>
      </c>
      <c r="H26" s="7" t="s">
        <v>41</v>
      </c>
      <c r="I26" s="8">
        <v>-50000</v>
      </c>
      <c r="L26" s="8">
        <f t="shared" si="35"/>
        <v>-50000</v>
      </c>
      <c r="M26" s="8">
        <f t="shared" si="36"/>
        <v>40241.517000000007</v>
      </c>
      <c r="N26" s="66" t="s">
        <v>11</v>
      </c>
      <c r="O26" s="43" t="s">
        <v>103</v>
      </c>
      <c r="P26" s="68" t="s">
        <v>101</v>
      </c>
      <c r="Q26" s="68" t="s">
        <v>102</v>
      </c>
      <c r="R26" s="43"/>
      <c r="S26" s="43" t="s">
        <v>104</v>
      </c>
      <c r="T26" s="67"/>
      <c r="U26" s="43" t="s">
        <v>100</v>
      </c>
      <c r="V26" s="43" t="s">
        <v>82</v>
      </c>
      <c r="W26" s="43" t="s">
        <v>51</v>
      </c>
      <c r="X26" s="9" t="s">
        <v>88</v>
      </c>
    </row>
    <row r="27" spans="1:24">
      <c r="A27" s="6">
        <v>45993</v>
      </c>
      <c r="B27" s="6">
        <v>45993</v>
      </c>
      <c r="C27" s="7">
        <f t="shared" si="33"/>
        <v>12</v>
      </c>
      <c r="D27" s="7">
        <f t="shared" si="34"/>
        <v>2025</v>
      </c>
      <c r="E27" s="7">
        <v>2025</v>
      </c>
      <c r="F27" s="46"/>
      <c r="G27" s="23"/>
      <c r="H27" s="7" t="s">
        <v>41</v>
      </c>
      <c r="I27" s="8">
        <v>-5</v>
      </c>
      <c r="L27" s="8">
        <f t="shared" si="35"/>
        <v>-5</v>
      </c>
      <c r="M27" s="8">
        <f t="shared" si="36"/>
        <v>40236.517000000007</v>
      </c>
      <c r="N27" s="9" t="s">
        <v>16</v>
      </c>
      <c r="O27" t="s">
        <v>17</v>
      </c>
      <c r="Q27" t="s">
        <v>96</v>
      </c>
      <c r="S27" t="s">
        <v>93</v>
      </c>
      <c r="U27" t="s">
        <v>95</v>
      </c>
      <c r="V27" t="s">
        <v>82</v>
      </c>
      <c r="W27" t="s">
        <v>51</v>
      </c>
      <c r="X27" s="9" t="s">
        <v>88</v>
      </c>
    </row>
    <row r="28" spans="1:24">
      <c r="A28" s="6">
        <v>45993</v>
      </c>
      <c r="B28" s="6">
        <v>45993</v>
      </c>
      <c r="C28" s="7">
        <f t="shared" ref="C28:C29" si="37">IF(B28="","",MONTH(B28))</f>
        <v>12</v>
      </c>
      <c r="D28" s="7">
        <f t="shared" ref="D28:D29" si="38">IF(B28="","",YEAR(B28))</f>
        <v>2025</v>
      </c>
      <c r="E28" s="7">
        <v>2025</v>
      </c>
      <c r="F28" s="46"/>
      <c r="G28" s="23"/>
      <c r="H28" s="7" t="s">
        <v>41</v>
      </c>
      <c r="I28" s="8">
        <v>-4</v>
      </c>
      <c r="L28" s="8">
        <f t="shared" ref="L28:L29" si="39">I28+K28</f>
        <v>-4</v>
      </c>
      <c r="M28" s="8">
        <f t="shared" si="36"/>
        <v>40232.517000000007</v>
      </c>
      <c r="N28" s="9" t="s">
        <v>16</v>
      </c>
      <c r="O28" t="s">
        <v>17</v>
      </c>
      <c r="Q28" t="s">
        <v>96</v>
      </c>
      <c r="S28" t="s">
        <v>93</v>
      </c>
      <c r="U28" t="s">
        <v>95</v>
      </c>
      <c r="V28" t="s">
        <v>82</v>
      </c>
      <c r="W28" t="s">
        <v>51</v>
      </c>
      <c r="X28" s="9" t="s">
        <v>88</v>
      </c>
    </row>
    <row r="29" spans="1:24">
      <c r="A29" s="6">
        <v>45994</v>
      </c>
      <c r="B29" s="6">
        <v>45994</v>
      </c>
      <c r="C29" s="7">
        <f t="shared" si="37"/>
        <v>12</v>
      </c>
      <c r="D29" s="7">
        <f t="shared" si="38"/>
        <v>2025</v>
      </c>
      <c r="E29" s="7">
        <v>2025</v>
      </c>
      <c r="F29" s="46"/>
      <c r="H29" s="7" t="s">
        <v>41</v>
      </c>
      <c r="I29" s="8">
        <v>20000</v>
      </c>
      <c r="L29" s="8">
        <f t="shared" si="39"/>
        <v>20000</v>
      </c>
      <c r="M29" s="8">
        <f t="shared" si="36"/>
        <v>60232.517000000007</v>
      </c>
      <c r="N29" s="9" t="s">
        <v>11</v>
      </c>
      <c r="O29" t="s">
        <v>43</v>
      </c>
      <c r="P29" t="s">
        <v>44</v>
      </c>
      <c r="Q29" t="s">
        <v>46</v>
      </c>
      <c r="S29" t="s">
        <v>47</v>
      </c>
      <c r="U29" t="s">
        <v>127</v>
      </c>
      <c r="V29" t="s">
        <v>82</v>
      </c>
      <c r="W29" t="s">
        <v>127</v>
      </c>
      <c r="X29" s="9" t="s">
        <v>88</v>
      </c>
    </row>
    <row r="30" spans="1:24">
      <c r="A30" s="6">
        <v>46000</v>
      </c>
      <c r="B30" s="6">
        <v>46000</v>
      </c>
      <c r="C30" s="7">
        <f t="shared" ref="C30" si="40">IF(B30="","",MONTH(B30))</f>
        <v>12</v>
      </c>
      <c r="D30" s="7">
        <f t="shared" ref="D30" si="41">IF(B30="","",YEAR(B30))</f>
        <v>2025</v>
      </c>
      <c r="E30" s="7">
        <v>2025</v>
      </c>
      <c r="F30" s="46"/>
      <c r="H30" s="7" t="s">
        <v>41</v>
      </c>
      <c r="I30" s="8">
        <v>20000</v>
      </c>
      <c r="L30" s="8">
        <f t="shared" ref="L30" si="42">I30+K30</f>
        <v>20000</v>
      </c>
      <c r="M30" s="8">
        <f t="shared" ref="M30" si="43">M29+L30</f>
        <v>80232.517000000007</v>
      </c>
      <c r="N30" s="9" t="s">
        <v>11</v>
      </c>
      <c r="O30" t="s">
        <v>43</v>
      </c>
      <c r="P30" t="s">
        <v>44</v>
      </c>
      <c r="Q30" t="s">
        <v>46</v>
      </c>
      <c r="S30" t="s">
        <v>47</v>
      </c>
      <c r="U30" t="s">
        <v>128</v>
      </c>
      <c r="V30" t="s">
        <v>82</v>
      </c>
      <c r="W30" t="s">
        <v>128</v>
      </c>
      <c r="X30" s="9" t="s">
        <v>88</v>
      </c>
    </row>
    <row r="31" spans="1:24">
      <c r="A31" s="6">
        <v>46002</v>
      </c>
      <c r="B31" s="6">
        <v>46002</v>
      </c>
      <c r="C31" s="7">
        <f t="shared" ref="C31:C36" si="44">IF(B31="","",MONTH(B31))</f>
        <v>12</v>
      </c>
      <c r="D31" s="7">
        <f t="shared" ref="D31:D36" si="45">IF(B31="","",YEAR(B31))</f>
        <v>2025</v>
      </c>
      <c r="E31" s="7">
        <v>2025</v>
      </c>
      <c r="F31" s="46"/>
      <c r="H31" s="7" t="s">
        <v>41</v>
      </c>
      <c r="I31" s="8">
        <v>20000</v>
      </c>
      <c r="L31" s="8">
        <f t="shared" ref="L31:L46" si="46">I31+K31</f>
        <v>20000</v>
      </c>
      <c r="M31" s="8">
        <f t="shared" ref="M31:M46" si="47">M30+L31</f>
        <v>100232.51700000001</v>
      </c>
      <c r="N31" s="9" t="s">
        <v>11</v>
      </c>
      <c r="O31" t="s">
        <v>43</v>
      </c>
      <c r="P31" t="s">
        <v>44</v>
      </c>
      <c r="Q31" t="s">
        <v>46</v>
      </c>
      <c r="S31" t="s">
        <v>47</v>
      </c>
      <c r="U31" t="s">
        <v>129</v>
      </c>
      <c r="V31" t="s">
        <v>82</v>
      </c>
      <c r="W31" t="s">
        <v>129</v>
      </c>
      <c r="X31" s="9" t="s">
        <v>88</v>
      </c>
    </row>
    <row r="32" spans="1:24">
      <c r="A32" s="6">
        <v>46006</v>
      </c>
      <c r="B32" s="6">
        <v>46006</v>
      </c>
      <c r="C32" s="7">
        <f t="shared" si="44"/>
        <v>12</v>
      </c>
      <c r="D32" s="7">
        <f t="shared" si="45"/>
        <v>2025</v>
      </c>
      <c r="E32" s="7">
        <v>2025</v>
      </c>
      <c r="F32" s="46">
        <v>317841</v>
      </c>
      <c r="G32" s="81">
        <f>F32/-I32</f>
        <v>6.3568199999999999</v>
      </c>
      <c r="H32" s="7" t="s">
        <v>41</v>
      </c>
      <c r="I32" s="8">
        <v>-50000</v>
      </c>
      <c r="L32" s="8">
        <f t="shared" si="46"/>
        <v>-50000</v>
      </c>
      <c r="M32" s="8">
        <f t="shared" si="47"/>
        <v>50232.517000000007</v>
      </c>
      <c r="N32" s="66" t="s">
        <v>11</v>
      </c>
      <c r="O32" s="43" t="s">
        <v>103</v>
      </c>
      <c r="P32" s="68" t="s">
        <v>101</v>
      </c>
      <c r="Q32" s="68" t="s">
        <v>102</v>
      </c>
      <c r="R32" s="43"/>
      <c r="S32" s="43" t="s">
        <v>104</v>
      </c>
      <c r="T32" s="67"/>
      <c r="U32" s="43" t="s">
        <v>100</v>
      </c>
      <c r="V32" s="43" t="s">
        <v>82</v>
      </c>
      <c r="W32" s="43" t="s">
        <v>51</v>
      </c>
      <c r="X32" s="9" t="s">
        <v>88</v>
      </c>
    </row>
    <row r="33" spans="1:25">
      <c r="A33" s="6">
        <v>46006</v>
      </c>
      <c r="B33" s="6">
        <v>46006</v>
      </c>
      <c r="C33" s="7">
        <f t="shared" si="44"/>
        <v>12</v>
      </c>
      <c r="D33" s="7">
        <f t="shared" si="45"/>
        <v>2025</v>
      </c>
      <c r="E33" s="7">
        <v>2025</v>
      </c>
      <c r="F33" s="46"/>
      <c r="G33" s="23"/>
      <c r="H33" s="7" t="s">
        <v>41</v>
      </c>
      <c r="I33" s="8">
        <v>-5</v>
      </c>
      <c r="L33" s="8">
        <f t="shared" si="46"/>
        <v>-5</v>
      </c>
      <c r="M33" s="8">
        <f t="shared" si="47"/>
        <v>50227.517000000007</v>
      </c>
      <c r="N33" s="9" t="s">
        <v>16</v>
      </c>
      <c r="O33" t="s">
        <v>17</v>
      </c>
      <c r="Q33" t="s">
        <v>96</v>
      </c>
      <c r="S33" t="s">
        <v>93</v>
      </c>
      <c r="U33" t="s">
        <v>95</v>
      </c>
      <c r="V33" t="s">
        <v>82</v>
      </c>
      <c r="W33" t="s">
        <v>51</v>
      </c>
      <c r="X33" s="9" t="s">
        <v>88</v>
      </c>
    </row>
    <row r="34" spans="1:25">
      <c r="A34" s="166">
        <v>46006</v>
      </c>
      <c r="B34" s="166">
        <v>46006</v>
      </c>
      <c r="C34" s="167">
        <f t="shared" si="44"/>
        <v>12</v>
      </c>
      <c r="D34" s="167">
        <f t="shared" si="45"/>
        <v>2025</v>
      </c>
      <c r="E34" s="167">
        <v>2025</v>
      </c>
      <c r="F34" s="168"/>
      <c r="G34" s="169"/>
      <c r="H34" s="167" t="s">
        <v>41</v>
      </c>
      <c r="I34" s="163">
        <v>-4</v>
      </c>
      <c r="J34" s="164"/>
      <c r="K34" s="163"/>
      <c r="L34" s="163">
        <f t="shared" si="46"/>
        <v>-4</v>
      </c>
      <c r="M34" s="163">
        <f t="shared" si="47"/>
        <v>50223.517000000007</v>
      </c>
      <c r="N34" s="122" t="s">
        <v>16</v>
      </c>
      <c r="O34" s="19" t="s">
        <v>17</v>
      </c>
      <c r="P34" s="19"/>
      <c r="Q34" s="19" t="s">
        <v>96</v>
      </c>
      <c r="R34" s="19"/>
      <c r="S34" s="19" t="s">
        <v>93</v>
      </c>
      <c r="T34" s="170"/>
      <c r="U34" s="19" t="s">
        <v>95</v>
      </c>
      <c r="V34" s="19" t="s">
        <v>82</v>
      </c>
      <c r="W34" s="19" t="s">
        <v>51</v>
      </c>
      <c r="X34" s="122" t="s">
        <v>88</v>
      </c>
      <c r="Y34" s="122"/>
    </row>
    <row r="35" spans="1:25">
      <c r="A35" s="6">
        <v>46037</v>
      </c>
      <c r="B35" s="6">
        <v>46037</v>
      </c>
      <c r="C35" s="7">
        <f t="shared" si="44"/>
        <v>1</v>
      </c>
      <c r="D35" s="7">
        <f t="shared" si="45"/>
        <v>2026</v>
      </c>
      <c r="E35" s="7">
        <v>2026</v>
      </c>
      <c r="F35" s="46"/>
      <c r="G35" s="23"/>
      <c r="H35" s="7" t="s">
        <v>41</v>
      </c>
      <c r="I35" s="8">
        <v>-250</v>
      </c>
      <c r="L35" s="8">
        <f t="shared" si="46"/>
        <v>-250</v>
      </c>
      <c r="M35" s="8">
        <f t="shared" si="47"/>
        <v>49973.517000000007</v>
      </c>
      <c r="N35" s="9" t="s">
        <v>16</v>
      </c>
      <c r="O35" t="s">
        <v>17</v>
      </c>
      <c r="Q35" t="s">
        <v>96</v>
      </c>
      <c r="S35" t="s">
        <v>93</v>
      </c>
      <c r="U35" t="s">
        <v>95</v>
      </c>
      <c r="V35" t="s">
        <v>82</v>
      </c>
      <c r="W35" t="s">
        <v>51</v>
      </c>
      <c r="X35" s="9" t="s">
        <v>88</v>
      </c>
    </row>
    <row r="36" spans="1:25">
      <c r="A36" s="6">
        <v>46048</v>
      </c>
      <c r="B36" s="6">
        <v>46048</v>
      </c>
      <c r="C36" s="7">
        <f t="shared" si="44"/>
        <v>1</v>
      </c>
      <c r="D36" s="7">
        <f t="shared" si="45"/>
        <v>2026</v>
      </c>
      <c r="E36" s="7">
        <v>2025</v>
      </c>
      <c r="F36" s="46"/>
      <c r="G36" s="23"/>
      <c r="H36" s="7" t="s">
        <v>41</v>
      </c>
      <c r="I36" s="27">
        <v>-341.88</v>
      </c>
      <c r="J36" s="21">
        <v>0.17</v>
      </c>
      <c r="K36" s="8">
        <v>-58.12</v>
      </c>
      <c r="L36" s="8">
        <f>I36+K36</f>
        <v>-400</v>
      </c>
      <c r="M36" s="8">
        <f t="shared" si="47"/>
        <v>49573.517000000007</v>
      </c>
      <c r="N36" s="9" t="s">
        <v>16</v>
      </c>
      <c r="O36" t="s">
        <v>17</v>
      </c>
      <c r="P36" s="43"/>
      <c r="Q36" s="43"/>
      <c r="S36" t="s">
        <v>186</v>
      </c>
      <c r="T36" s="56" t="s">
        <v>214</v>
      </c>
      <c r="U36" t="s">
        <v>203</v>
      </c>
      <c r="W36" t="s">
        <v>30</v>
      </c>
      <c r="X36" s="9" t="s">
        <v>88</v>
      </c>
    </row>
    <row r="37" spans="1:25">
      <c r="A37" s="6">
        <v>46048</v>
      </c>
      <c r="B37" s="6">
        <v>46048</v>
      </c>
      <c r="C37" s="7">
        <f t="shared" ref="C37:C55" si="48">IF(B37="","",MONTH(B37))</f>
        <v>1</v>
      </c>
      <c r="D37" s="7">
        <f t="shared" ref="D37:D55" si="49">IF(B37="","",YEAR(B37))</f>
        <v>2026</v>
      </c>
      <c r="E37" s="7">
        <v>2025</v>
      </c>
      <c r="F37" s="46"/>
      <c r="G37" s="23"/>
      <c r="H37" s="7" t="s">
        <v>41</v>
      </c>
      <c r="I37" s="27">
        <v>-341.88</v>
      </c>
      <c r="J37" s="21">
        <v>0.17</v>
      </c>
      <c r="K37" s="8">
        <v>-58.12</v>
      </c>
      <c r="L37" s="8">
        <f t="shared" si="46"/>
        <v>-400</v>
      </c>
      <c r="M37" s="8">
        <f t="shared" si="47"/>
        <v>49173.517000000007</v>
      </c>
      <c r="N37" s="9" t="s">
        <v>16</v>
      </c>
      <c r="O37" t="s">
        <v>17</v>
      </c>
      <c r="P37" s="43"/>
      <c r="Q37" s="43"/>
      <c r="S37" t="s">
        <v>186</v>
      </c>
      <c r="T37" s="56" t="s">
        <v>214</v>
      </c>
      <c r="U37" t="s">
        <v>203</v>
      </c>
      <c r="W37" t="s">
        <v>31</v>
      </c>
      <c r="X37" s="9" t="s">
        <v>88</v>
      </c>
    </row>
    <row r="38" spans="1:25">
      <c r="A38" s="6">
        <v>46048</v>
      </c>
      <c r="B38" s="6">
        <v>46048</v>
      </c>
      <c r="C38" s="7">
        <f t="shared" si="48"/>
        <v>1</v>
      </c>
      <c r="D38" s="7">
        <f t="shared" si="49"/>
        <v>2026</v>
      </c>
      <c r="E38" s="7">
        <v>2025</v>
      </c>
      <c r="F38" s="46"/>
      <c r="G38" s="23"/>
      <c r="H38" s="7" t="s">
        <v>41</v>
      </c>
      <c r="I38" s="27">
        <v>-341.88</v>
      </c>
      <c r="J38" s="21">
        <v>0.17</v>
      </c>
      <c r="K38" s="8">
        <v>-58.12</v>
      </c>
      <c r="L38" s="8">
        <f t="shared" si="46"/>
        <v>-400</v>
      </c>
      <c r="M38" s="8">
        <f t="shared" si="47"/>
        <v>48773.517000000007</v>
      </c>
      <c r="N38" s="9" t="s">
        <v>16</v>
      </c>
      <c r="O38" t="s">
        <v>17</v>
      </c>
      <c r="P38" s="43"/>
      <c r="Q38" s="43"/>
      <c r="S38" t="s">
        <v>186</v>
      </c>
      <c r="T38" s="56" t="s">
        <v>214</v>
      </c>
      <c r="U38" t="s">
        <v>203</v>
      </c>
      <c r="W38" t="s">
        <v>30</v>
      </c>
      <c r="X38" s="9" t="s">
        <v>88</v>
      </c>
    </row>
    <row r="39" spans="1:25">
      <c r="A39" s="6">
        <v>46048</v>
      </c>
      <c r="B39" s="6">
        <v>46048</v>
      </c>
      <c r="C39" s="7">
        <f t="shared" si="48"/>
        <v>1</v>
      </c>
      <c r="D39" s="7">
        <f t="shared" si="49"/>
        <v>2026</v>
      </c>
      <c r="E39" s="7">
        <v>2025</v>
      </c>
      <c r="F39" s="46"/>
      <c r="G39" s="23"/>
      <c r="H39" s="7" t="s">
        <v>41</v>
      </c>
      <c r="I39" s="27">
        <v>-341.88</v>
      </c>
      <c r="J39" s="21">
        <v>0.17</v>
      </c>
      <c r="K39" s="8">
        <v>-58.12</v>
      </c>
      <c r="L39" s="8">
        <f t="shared" si="46"/>
        <v>-400</v>
      </c>
      <c r="M39" s="8">
        <f t="shared" si="47"/>
        <v>48373.517000000007</v>
      </c>
      <c r="N39" s="9" t="s">
        <v>16</v>
      </c>
      <c r="O39" t="s">
        <v>17</v>
      </c>
      <c r="P39" s="43"/>
      <c r="Q39" s="43"/>
      <c r="S39" t="s">
        <v>186</v>
      </c>
      <c r="T39" s="56" t="s">
        <v>214</v>
      </c>
      <c r="U39" t="s">
        <v>203</v>
      </c>
      <c r="W39" t="s">
        <v>119</v>
      </c>
      <c r="X39" s="9" t="s">
        <v>88</v>
      </c>
    </row>
    <row r="40" spans="1:25">
      <c r="A40" s="6">
        <v>46048</v>
      </c>
      <c r="B40" s="6">
        <v>46048</v>
      </c>
      <c r="C40" s="7">
        <f t="shared" si="48"/>
        <v>1</v>
      </c>
      <c r="D40" s="7">
        <f t="shared" si="49"/>
        <v>2026</v>
      </c>
      <c r="E40" s="7">
        <v>2025</v>
      </c>
      <c r="F40" s="46"/>
      <c r="G40" s="23"/>
      <c r="H40" s="7" t="s">
        <v>41</v>
      </c>
      <c r="I40" s="27">
        <v>-341.88</v>
      </c>
      <c r="J40" s="21">
        <v>0.17</v>
      </c>
      <c r="K40" s="8">
        <v>-58.12</v>
      </c>
      <c r="L40" s="8">
        <f t="shared" si="46"/>
        <v>-400</v>
      </c>
      <c r="M40" s="8">
        <f t="shared" si="47"/>
        <v>47973.517000000007</v>
      </c>
      <c r="N40" s="9" t="s">
        <v>16</v>
      </c>
      <c r="O40" t="s">
        <v>17</v>
      </c>
      <c r="P40" s="43"/>
      <c r="Q40" s="43"/>
      <c r="S40" t="s">
        <v>186</v>
      </c>
      <c r="T40" s="56" t="s">
        <v>214</v>
      </c>
      <c r="U40" t="s">
        <v>203</v>
      </c>
      <c r="W40" t="s">
        <v>120</v>
      </c>
      <c r="X40" s="9" t="s">
        <v>88</v>
      </c>
    </row>
    <row r="41" spans="1:25">
      <c r="A41" s="6">
        <v>46048</v>
      </c>
      <c r="B41" s="6">
        <v>46048</v>
      </c>
      <c r="C41" s="7">
        <f t="shared" si="48"/>
        <v>1</v>
      </c>
      <c r="D41" s="7">
        <f t="shared" si="49"/>
        <v>2026</v>
      </c>
      <c r="E41" s="7">
        <v>2025</v>
      </c>
      <c r="F41" s="46"/>
      <c r="G41" s="23"/>
      <c r="H41" s="7" t="s">
        <v>41</v>
      </c>
      <c r="I41" s="27">
        <f>-341.88*2</f>
        <v>-683.76</v>
      </c>
      <c r="J41" s="21">
        <v>0.17</v>
      </c>
      <c r="K41" s="8">
        <v>-116.24</v>
      </c>
      <c r="L41" s="8">
        <f t="shared" si="46"/>
        <v>-800</v>
      </c>
      <c r="M41" s="8">
        <f t="shared" si="47"/>
        <v>47173.517000000007</v>
      </c>
      <c r="N41" s="9" t="s">
        <v>16</v>
      </c>
      <c r="O41" t="s">
        <v>17</v>
      </c>
      <c r="P41" s="43"/>
      <c r="Q41" s="43"/>
      <c r="S41" t="s">
        <v>186</v>
      </c>
      <c r="T41" s="56" t="s">
        <v>214</v>
      </c>
      <c r="U41" t="s">
        <v>203</v>
      </c>
      <c r="W41" t="s">
        <v>121</v>
      </c>
      <c r="X41" s="9" t="s">
        <v>88</v>
      </c>
    </row>
    <row r="42" spans="1:25">
      <c r="A42" s="6">
        <v>46048</v>
      </c>
      <c r="B42" s="6">
        <v>46048</v>
      </c>
      <c r="C42" s="7">
        <f t="shared" si="48"/>
        <v>1</v>
      </c>
      <c r="D42" s="7">
        <f t="shared" si="49"/>
        <v>2026</v>
      </c>
      <c r="E42" s="7">
        <v>2025</v>
      </c>
      <c r="F42" s="46"/>
      <c r="G42" s="23"/>
      <c r="H42" s="7" t="s">
        <v>41</v>
      </c>
      <c r="I42" s="27">
        <v>-341.88</v>
      </c>
      <c r="J42" s="21">
        <v>0.17</v>
      </c>
      <c r="K42" s="8">
        <v>-58.12</v>
      </c>
      <c r="L42" s="8">
        <f t="shared" si="46"/>
        <v>-400</v>
      </c>
      <c r="M42" s="8">
        <f t="shared" si="47"/>
        <v>46773.517000000007</v>
      </c>
      <c r="N42" s="9" t="s">
        <v>16</v>
      </c>
      <c r="O42" t="s">
        <v>17</v>
      </c>
      <c r="P42" s="43"/>
      <c r="Q42" s="43"/>
      <c r="S42" t="s">
        <v>186</v>
      </c>
      <c r="T42" s="56" t="s">
        <v>214</v>
      </c>
      <c r="U42" t="s">
        <v>203</v>
      </c>
      <c r="W42" t="s">
        <v>127</v>
      </c>
      <c r="X42" s="9" t="s">
        <v>88</v>
      </c>
    </row>
    <row r="43" spans="1:25">
      <c r="A43" s="6">
        <v>46048</v>
      </c>
      <c r="B43" s="6">
        <v>46048</v>
      </c>
      <c r="C43" s="7">
        <f t="shared" si="48"/>
        <v>1</v>
      </c>
      <c r="D43" s="7">
        <f t="shared" si="49"/>
        <v>2026</v>
      </c>
      <c r="E43" s="7">
        <v>2025</v>
      </c>
      <c r="F43" s="46"/>
      <c r="G43" s="23"/>
      <c r="H43" s="7" t="s">
        <v>41</v>
      </c>
      <c r="I43" s="27">
        <v>-341.88</v>
      </c>
      <c r="J43" s="21">
        <v>0.17</v>
      </c>
      <c r="K43" s="8">
        <v>-58.12</v>
      </c>
      <c r="L43" s="8">
        <f t="shared" si="46"/>
        <v>-400</v>
      </c>
      <c r="M43" s="8">
        <f t="shared" si="47"/>
        <v>46373.517000000007</v>
      </c>
      <c r="N43" s="9" t="s">
        <v>16</v>
      </c>
      <c r="O43" t="s">
        <v>17</v>
      </c>
      <c r="P43" s="43"/>
      <c r="Q43" s="43"/>
      <c r="S43" t="s">
        <v>186</v>
      </c>
      <c r="T43" s="56" t="s">
        <v>214</v>
      </c>
      <c r="U43" t="s">
        <v>203</v>
      </c>
      <c r="W43" t="s">
        <v>128</v>
      </c>
      <c r="X43" s="9" t="s">
        <v>88</v>
      </c>
    </row>
    <row r="44" spans="1:25">
      <c r="A44" s="6">
        <v>46048</v>
      </c>
      <c r="B44" s="6">
        <v>46048</v>
      </c>
      <c r="C44" s="7">
        <f t="shared" si="48"/>
        <v>1</v>
      </c>
      <c r="D44" s="7">
        <f t="shared" si="49"/>
        <v>2026</v>
      </c>
      <c r="E44" s="7">
        <v>2025</v>
      </c>
      <c r="F44" s="46"/>
      <c r="G44" s="23"/>
      <c r="H44" s="7" t="s">
        <v>41</v>
      </c>
      <c r="I44" s="27">
        <v>-341.88</v>
      </c>
      <c r="J44" s="21">
        <v>0.17</v>
      </c>
      <c r="K44" s="8">
        <v>-58.12</v>
      </c>
      <c r="L44" s="8">
        <f t="shared" si="46"/>
        <v>-400</v>
      </c>
      <c r="M44" s="8">
        <f t="shared" si="47"/>
        <v>45973.517000000007</v>
      </c>
      <c r="N44" s="9" t="s">
        <v>16</v>
      </c>
      <c r="O44" t="s">
        <v>17</v>
      </c>
      <c r="P44" s="43"/>
      <c r="Q44" s="43"/>
      <c r="S44" t="s">
        <v>186</v>
      </c>
      <c r="T44" s="56" t="s">
        <v>214</v>
      </c>
      <c r="U44" t="s">
        <v>203</v>
      </c>
      <c r="W44" t="s">
        <v>129</v>
      </c>
      <c r="X44" s="9" t="s">
        <v>88</v>
      </c>
    </row>
    <row r="45" spans="1:25">
      <c r="A45" s="6">
        <v>46048</v>
      </c>
      <c r="B45" s="6">
        <v>46048</v>
      </c>
      <c r="C45" s="7">
        <f t="shared" si="48"/>
        <v>1</v>
      </c>
      <c r="D45" s="7">
        <f t="shared" si="49"/>
        <v>2026</v>
      </c>
      <c r="E45" s="7">
        <v>2025</v>
      </c>
      <c r="F45" s="46"/>
      <c r="G45" s="23"/>
      <c r="H45" s="7" t="s">
        <v>41</v>
      </c>
      <c r="I45" s="27">
        <f>-SUM(I36:I44)</f>
        <v>3418.8</v>
      </c>
      <c r="J45" s="21">
        <v>0.17</v>
      </c>
      <c r="K45" s="8">
        <v>581.20000000000005</v>
      </c>
      <c r="L45" s="8">
        <f t="shared" si="46"/>
        <v>4000</v>
      </c>
      <c r="M45" s="8">
        <f t="shared" si="47"/>
        <v>49973.517000000007</v>
      </c>
      <c r="N45" s="9" t="s">
        <v>16</v>
      </c>
      <c r="O45" t="s">
        <v>17</v>
      </c>
      <c r="P45" s="43"/>
      <c r="Q45" s="43"/>
      <c r="S45" t="s">
        <v>186</v>
      </c>
      <c r="T45" s="56" t="s">
        <v>214</v>
      </c>
      <c r="U45" t="s">
        <v>203</v>
      </c>
      <c r="W45" t="s">
        <v>123</v>
      </c>
      <c r="X45" s="9" t="s">
        <v>88</v>
      </c>
    </row>
    <row r="46" spans="1:25">
      <c r="A46" s="6">
        <v>46048</v>
      </c>
      <c r="B46" s="6">
        <v>46048</v>
      </c>
      <c r="C46" s="7">
        <f t="shared" si="48"/>
        <v>1</v>
      </c>
      <c r="D46" s="7">
        <f t="shared" si="49"/>
        <v>2026</v>
      </c>
      <c r="E46" s="7">
        <v>2025</v>
      </c>
      <c r="F46" s="46"/>
      <c r="G46" s="23"/>
      <c r="H46" s="7" t="s">
        <v>41</v>
      </c>
      <c r="I46" s="27">
        <f>-I45</f>
        <v>-3418.8</v>
      </c>
      <c r="J46" s="21">
        <v>0.17</v>
      </c>
      <c r="K46" s="8">
        <v>-581.20000000000005</v>
      </c>
      <c r="L46" s="8">
        <f t="shared" si="46"/>
        <v>-4000</v>
      </c>
      <c r="M46" s="8">
        <f t="shared" si="47"/>
        <v>45973.517000000007</v>
      </c>
      <c r="N46" s="9" t="s">
        <v>16</v>
      </c>
      <c r="O46" t="s">
        <v>17</v>
      </c>
      <c r="P46" s="43"/>
      <c r="Q46" s="43"/>
      <c r="S46" t="s">
        <v>186</v>
      </c>
      <c r="T46" s="56" t="s">
        <v>214</v>
      </c>
      <c r="U46" t="s">
        <v>203</v>
      </c>
      <c r="W46" t="s">
        <v>51</v>
      </c>
      <c r="X46" s="9" t="s">
        <v>88</v>
      </c>
    </row>
    <row r="47" spans="1:25">
      <c r="A47" s="6">
        <v>46129</v>
      </c>
      <c r="B47" s="6">
        <v>46129</v>
      </c>
      <c r="C47" s="7">
        <f t="shared" si="48"/>
        <v>4</v>
      </c>
      <c r="D47" s="7">
        <f t="shared" si="49"/>
        <v>2026</v>
      </c>
      <c r="E47" s="7">
        <v>2026</v>
      </c>
      <c r="F47" s="46"/>
      <c r="G47" s="23"/>
      <c r="H47" s="7" t="s">
        <v>41</v>
      </c>
      <c r="I47" s="8">
        <v>-250</v>
      </c>
      <c r="L47" s="8">
        <f t="shared" ref="L47:L59" si="50">I47+K47</f>
        <v>-250</v>
      </c>
      <c r="M47" s="8">
        <f t="shared" ref="M47:M59" si="51">M46+L47</f>
        <v>45723.517000000007</v>
      </c>
      <c r="N47" s="9" t="s">
        <v>16</v>
      </c>
      <c r="O47" t="s">
        <v>17</v>
      </c>
      <c r="Q47" t="s">
        <v>96</v>
      </c>
      <c r="S47" t="s">
        <v>93</v>
      </c>
      <c r="U47" t="s">
        <v>95</v>
      </c>
      <c r="V47" t="s">
        <v>82</v>
      </c>
      <c r="W47" t="s">
        <v>51</v>
      </c>
      <c r="X47" s="9" t="s">
        <v>88</v>
      </c>
    </row>
    <row r="48" spans="1:25">
      <c r="A48" s="6">
        <v>46139</v>
      </c>
      <c r="B48" s="6">
        <v>46139</v>
      </c>
      <c r="C48" s="7">
        <f t="shared" si="48"/>
        <v>4</v>
      </c>
      <c r="D48" s="7">
        <f t="shared" si="49"/>
        <v>2026</v>
      </c>
      <c r="E48" s="7">
        <v>2025</v>
      </c>
      <c r="F48" s="46"/>
      <c r="G48" s="23"/>
      <c r="H48" s="7" t="s">
        <v>41</v>
      </c>
      <c r="I48" s="8">
        <v>-15</v>
      </c>
      <c r="J48" s="21">
        <v>0.17</v>
      </c>
      <c r="K48" s="8">
        <f t="shared" ref="K48" si="52">I48*J48</f>
        <v>-2.5500000000000003</v>
      </c>
      <c r="L48" s="8">
        <f t="shared" si="50"/>
        <v>-17.55</v>
      </c>
      <c r="M48" s="8">
        <f t="shared" si="51"/>
        <v>45705.967000000004</v>
      </c>
      <c r="N48" s="9" t="s">
        <v>16</v>
      </c>
      <c r="O48" t="s">
        <v>17</v>
      </c>
      <c r="Q48" t="s">
        <v>42</v>
      </c>
      <c r="S48" t="s">
        <v>196</v>
      </c>
      <c r="T48" s="56" t="s">
        <v>78</v>
      </c>
      <c r="U48" t="s">
        <v>68</v>
      </c>
      <c r="W48" t="s">
        <v>51</v>
      </c>
      <c r="X48" s="9" t="s">
        <v>88</v>
      </c>
      <c r="Y48" s="9" t="s">
        <v>37</v>
      </c>
    </row>
    <row r="49" spans="1:25">
      <c r="A49" s="6">
        <v>46139</v>
      </c>
      <c r="B49" s="6">
        <v>46139</v>
      </c>
      <c r="C49" s="7">
        <f t="shared" si="48"/>
        <v>4</v>
      </c>
      <c r="D49" s="7">
        <f t="shared" si="49"/>
        <v>2026</v>
      </c>
      <c r="E49" s="7">
        <v>2025</v>
      </c>
      <c r="F49" s="46"/>
      <c r="G49" s="23"/>
      <c r="H49" s="7" t="s">
        <v>41</v>
      </c>
      <c r="I49" s="8">
        <v>15</v>
      </c>
      <c r="J49" s="21">
        <v>0.17</v>
      </c>
      <c r="K49" s="8">
        <v>2.5499999999999998</v>
      </c>
      <c r="L49" s="8">
        <f t="shared" si="50"/>
        <v>17.55</v>
      </c>
      <c r="M49" s="8">
        <f t="shared" si="51"/>
        <v>45723.517000000007</v>
      </c>
      <c r="N49" s="9" t="s">
        <v>16</v>
      </c>
      <c r="O49" t="s">
        <v>17</v>
      </c>
      <c r="Q49" t="s">
        <v>42</v>
      </c>
      <c r="S49" t="s">
        <v>84</v>
      </c>
      <c r="U49" t="s">
        <v>30</v>
      </c>
      <c r="V49" t="s">
        <v>82</v>
      </c>
      <c r="W49" t="s">
        <v>51</v>
      </c>
      <c r="X49" s="9" t="s">
        <v>88</v>
      </c>
      <c r="Y49" s="9" t="s">
        <v>37</v>
      </c>
    </row>
    <row r="50" spans="1:25">
      <c r="A50" s="6">
        <v>46139</v>
      </c>
      <c r="B50" s="6">
        <v>46139</v>
      </c>
      <c r="C50" s="7">
        <f t="shared" si="48"/>
        <v>4</v>
      </c>
      <c r="D50" s="7">
        <f t="shared" si="49"/>
        <v>2026</v>
      </c>
      <c r="E50" s="7">
        <v>2025</v>
      </c>
      <c r="F50" s="46"/>
      <c r="G50" s="23"/>
      <c r="H50" s="7" t="s">
        <v>41</v>
      </c>
      <c r="I50" s="8">
        <f>-I49</f>
        <v>-15</v>
      </c>
      <c r="J50" s="21">
        <v>0.17</v>
      </c>
      <c r="K50" s="8">
        <f t="shared" ref="K50" si="53">-K49</f>
        <v>-2.5499999999999998</v>
      </c>
      <c r="L50" s="8">
        <f t="shared" si="50"/>
        <v>-17.55</v>
      </c>
      <c r="M50" s="8">
        <f t="shared" si="51"/>
        <v>45705.967000000004</v>
      </c>
      <c r="N50" s="9" t="s">
        <v>16</v>
      </c>
      <c r="O50" t="s">
        <v>17</v>
      </c>
      <c r="Q50" t="s">
        <v>42</v>
      </c>
      <c r="S50" t="s">
        <v>84</v>
      </c>
      <c r="U50" t="s">
        <v>30</v>
      </c>
      <c r="V50" t="s">
        <v>82</v>
      </c>
      <c r="W50" t="s">
        <v>51</v>
      </c>
      <c r="X50" s="9" t="s">
        <v>88</v>
      </c>
      <c r="Y50" s="9" t="s">
        <v>37</v>
      </c>
    </row>
    <row r="51" spans="1:25">
      <c r="A51" s="6">
        <v>46149</v>
      </c>
      <c r="B51" s="6">
        <v>46149</v>
      </c>
      <c r="C51" s="7">
        <f t="shared" si="48"/>
        <v>5</v>
      </c>
      <c r="D51" s="7">
        <f t="shared" si="49"/>
        <v>2026</v>
      </c>
      <c r="E51" s="7">
        <v>2026</v>
      </c>
      <c r="F51" s="46">
        <v>227258</v>
      </c>
      <c r="G51" s="81">
        <f>F51/-I51</f>
        <v>5.6814499999999999</v>
      </c>
      <c r="H51" s="7" t="s">
        <v>41</v>
      </c>
      <c r="I51" s="8">
        <v>-40000</v>
      </c>
      <c r="L51" s="8">
        <f t="shared" si="50"/>
        <v>-40000</v>
      </c>
      <c r="M51" s="8">
        <f t="shared" si="51"/>
        <v>5705.9670000000042</v>
      </c>
      <c r="N51" s="66" t="s">
        <v>11</v>
      </c>
      <c r="O51" s="43" t="s">
        <v>103</v>
      </c>
      <c r="P51" s="68" t="s">
        <v>101</v>
      </c>
      <c r="Q51" s="68" t="s">
        <v>102</v>
      </c>
      <c r="R51" s="43"/>
      <c r="S51" s="43" t="s">
        <v>104</v>
      </c>
      <c r="T51" s="67"/>
      <c r="U51" s="43" t="s">
        <v>100</v>
      </c>
      <c r="V51" s="43" t="s">
        <v>82</v>
      </c>
      <c r="W51" s="43" t="s">
        <v>51</v>
      </c>
      <c r="X51" s="9" t="s">
        <v>88</v>
      </c>
    </row>
    <row r="52" spans="1:25">
      <c r="A52" s="6">
        <v>46149</v>
      </c>
      <c r="B52" s="6">
        <v>46149</v>
      </c>
      <c r="C52" s="7">
        <f t="shared" si="48"/>
        <v>5</v>
      </c>
      <c r="D52" s="7">
        <f t="shared" si="49"/>
        <v>2026</v>
      </c>
      <c r="E52" s="7">
        <v>2026</v>
      </c>
      <c r="F52" s="46"/>
      <c r="G52" s="23"/>
      <c r="H52" s="7" t="s">
        <v>41</v>
      </c>
      <c r="I52" s="8">
        <v>-5</v>
      </c>
      <c r="L52" s="8">
        <f t="shared" si="50"/>
        <v>-5</v>
      </c>
      <c r="M52" s="8">
        <f t="shared" si="51"/>
        <v>5700.9670000000042</v>
      </c>
      <c r="N52" s="9" t="s">
        <v>16</v>
      </c>
      <c r="O52" t="s">
        <v>17</v>
      </c>
      <c r="Q52" t="s">
        <v>96</v>
      </c>
      <c r="S52" t="s">
        <v>93</v>
      </c>
      <c r="U52" t="s">
        <v>95</v>
      </c>
      <c r="V52" t="s">
        <v>82</v>
      </c>
      <c r="W52" t="s">
        <v>51</v>
      </c>
      <c r="X52" s="9" t="s">
        <v>88</v>
      </c>
    </row>
    <row r="53" spans="1:25">
      <c r="A53" s="6">
        <v>46149</v>
      </c>
      <c r="B53" s="6">
        <v>46149</v>
      </c>
      <c r="C53" s="7">
        <f t="shared" si="48"/>
        <v>5</v>
      </c>
      <c r="D53" s="7">
        <f t="shared" si="49"/>
        <v>2026</v>
      </c>
      <c r="E53" s="7">
        <v>2026</v>
      </c>
      <c r="F53" s="46"/>
      <c r="G53" s="23"/>
      <c r="H53" s="7" t="s">
        <v>41</v>
      </c>
      <c r="I53" s="8">
        <v>-4</v>
      </c>
      <c r="L53" s="8">
        <f t="shared" si="50"/>
        <v>-4</v>
      </c>
      <c r="M53" s="8">
        <f t="shared" si="51"/>
        <v>5696.9670000000042</v>
      </c>
      <c r="N53" s="9" t="s">
        <v>16</v>
      </c>
      <c r="O53" t="s">
        <v>17</v>
      </c>
      <c r="Q53" t="s">
        <v>96</v>
      </c>
      <c r="S53" t="s">
        <v>93</v>
      </c>
      <c r="U53" t="s">
        <v>95</v>
      </c>
      <c r="V53" t="s">
        <v>82</v>
      </c>
      <c r="W53" t="s">
        <v>51</v>
      </c>
      <c r="X53" s="9" t="s">
        <v>88</v>
      </c>
    </row>
    <row r="54" spans="1:25">
      <c r="A54" s="6">
        <v>46220</v>
      </c>
      <c r="B54" s="6">
        <v>46220</v>
      </c>
      <c r="C54" s="7">
        <f t="shared" si="48"/>
        <v>7</v>
      </c>
      <c r="D54" s="7">
        <f t="shared" si="49"/>
        <v>2026</v>
      </c>
      <c r="E54" s="7">
        <v>2026</v>
      </c>
      <c r="F54" s="46"/>
      <c r="H54" s="7" t="s">
        <v>41</v>
      </c>
      <c r="I54" s="8">
        <v>40000</v>
      </c>
      <c r="L54" s="8">
        <f t="shared" si="50"/>
        <v>40000</v>
      </c>
      <c r="M54" s="8">
        <f t="shared" si="51"/>
        <v>45696.967000000004</v>
      </c>
      <c r="N54" s="9" t="s">
        <v>11</v>
      </c>
      <c r="O54" t="s">
        <v>43</v>
      </c>
      <c r="P54" t="s">
        <v>44</v>
      </c>
      <c r="Q54" t="s">
        <v>46</v>
      </c>
      <c r="S54" t="s">
        <v>47</v>
      </c>
      <c r="U54" t="s">
        <v>207</v>
      </c>
      <c r="V54" t="s">
        <v>82</v>
      </c>
      <c r="W54" t="s">
        <v>207</v>
      </c>
      <c r="X54" s="9" t="s">
        <v>88</v>
      </c>
    </row>
    <row r="55" spans="1:25">
      <c r="A55" s="6">
        <v>46220</v>
      </c>
      <c r="B55" s="6">
        <v>46220</v>
      </c>
      <c r="C55" s="7">
        <f t="shared" si="48"/>
        <v>7</v>
      </c>
      <c r="D55" s="7">
        <f t="shared" si="49"/>
        <v>2026</v>
      </c>
      <c r="E55" s="7">
        <v>2026</v>
      </c>
      <c r="F55" s="46"/>
      <c r="H55" s="7" t="s">
        <v>41</v>
      </c>
      <c r="I55" s="8">
        <v>20000</v>
      </c>
      <c r="L55" s="8">
        <f t="shared" si="50"/>
        <v>20000</v>
      </c>
      <c r="M55" s="8">
        <f t="shared" si="51"/>
        <v>65696.967000000004</v>
      </c>
      <c r="N55" s="9" t="s">
        <v>11</v>
      </c>
      <c r="O55" t="s">
        <v>43</v>
      </c>
      <c r="P55" t="s">
        <v>44</v>
      </c>
      <c r="Q55" t="s">
        <v>46</v>
      </c>
      <c r="S55" t="s">
        <v>47</v>
      </c>
      <c r="U55" t="s">
        <v>208</v>
      </c>
      <c r="V55" t="s">
        <v>82</v>
      </c>
      <c r="W55" t="s">
        <v>208</v>
      </c>
      <c r="X55" s="9" t="s">
        <v>88</v>
      </c>
    </row>
    <row r="56" spans="1:25">
      <c r="A56" s="6">
        <v>46220</v>
      </c>
      <c r="B56" s="6">
        <v>46220</v>
      </c>
      <c r="C56" s="7">
        <f t="shared" ref="C56:C62" si="54">IF(B56="","",MONTH(B56))</f>
        <v>7</v>
      </c>
      <c r="D56" s="7">
        <f t="shared" ref="D56:D62" si="55">IF(B56="","",YEAR(B56))</f>
        <v>2026</v>
      </c>
      <c r="E56" s="7">
        <v>2026</v>
      </c>
      <c r="F56" s="46"/>
      <c r="G56" s="23"/>
      <c r="H56" s="7" t="s">
        <v>41</v>
      </c>
      <c r="I56" s="27">
        <v>-683.76</v>
      </c>
      <c r="J56" s="21">
        <v>0.17</v>
      </c>
      <c r="K56" s="8">
        <v>-116.24</v>
      </c>
      <c r="L56" s="8">
        <f t="shared" si="50"/>
        <v>-800</v>
      </c>
      <c r="M56" s="8">
        <f t="shared" si="51"/>
        <v>64896.967000000004</v>
      </c>
      <c r="N56" s="9" t="s">
        <v>16</v>
      </c>
      <c r="O56" t="s">
        <v>17</v>
      </c>
      <c r="P56" s="43"/>
      <c r="Q56" s="43"/>
      <c r="S56" t="s">
        <v>186</v>
      </c>
      <c r="T56" s="56" t="s">
        <v>215</v>
      </c>
      <c r="U56" t="s">
        <v>203</v>
      </c>
      <c r="W56" t="s">
        <v>207</v>
      </c>
      <c r="X56" s="9" t="s">
        <v>88</v>
      </c>
    </row>
    <row r="57" spans="1:25">
      <c r="A57" s="6">
        <v>46220</v>
      </c>
      <c r="B57" s="6">
        <v>46220</v>
      </c>
      <c r="C57" s="7">
        <f t="shared" si="54"/>
        <v>7</v>
      </c>
      <c r="D57" s="7">
        <f t="shared" si="55"/>
        <v>2026</v>
      </c>
      <c r="E57" s="7">
        <v>2026</v>
      </c>
      <c r="F57" s="46"/>
      <c r="G57" s="23"/>
      <c r="H57" s="7" t="s">
        <v>41</v>
      </c>
      <c r="I57" s="27">
        <v>-341.88</v>
      </c>
      <c r="J57" s="21">
        <v>0.17</v>
      </c>
      <c r="K57" s="8">
        <v>-58.12</v>
      </c>
      <c r="L57" s="8">
        <f t="shared" si="50"/>
        <v>-400</v>
      </c>
      <c r="M57" s="8">
        <f t="shared" si="51"/>
        <v>64496.967000000004</v>
      </c>
      <c r="N57" s="9" t="s">
        <v>16</v>
      </c>
      <c r="O57" t="s">
        <v>17</v>
      </c>
      <c r="P57" s="43"/>
      <c r="Q57" s="43"/>
      <c r="S57" t="s">
        <v>186</v>
      </c>
      <c r="T57" s="56" t="s">
        <v>215</v>
      </c>
      <c r="U57" t="s">
        <v>203</v>
      </c>
      <c r="W57" t="s">
        <v>208</v>
      </c>
      <c r="X57" s="9" t="s">
        <v>88</v>
      </c>
    </row>
    <row r="58" spans="1:25">
      <c r="A58" s="6">
        <v>46220</v>
      </c>
      <c r="B58" s="6">
        <v>46220</v>
      </c>
      <c r="C58" s="7">
        <f t="shared" si="54"/>
        <v>7</v>
      </c>
      <c r="D58" s="7">
        <f t="shared" si="55"/>
        <v>2026</v>
      </c>
      <c r="E58" s="7">
        <v>2026</v>
      </c>
      <c r="F58" s="46"/>
      <c r="G58" s="23"/>
      <c r="H58" s="7" t="s">
        <v>41</v>
      </c>
      <c r="I58" s="27">
        <f>-SUM(I56:I57)</f>
        <v>1025.6399999999999</v>
      </c>
      <c r="J58" s="21">
        <v>0.17</v>
      </c>
      <c r="K58" s="8">
        <v>174.36</v>
      </c>
      <c r="L58" s="8">
        <f t="shared" si="50"/>
        <v>1200</v>
      </c>
      <c r="M58" s="8">
        <f t="shared" si="51"/>
        <v>65696.967000000004</v>
      </c>
      <c r="N58" s="9" t="s">
        <v>16</v>
      </c>
      <c r="O58" t="s">
        <v>17</v>
      </c>
      <c r="P58" s="43"/>
      <c r="Q58" s="43"/>
      <c r="S58" t="s">
        <v>186</v>
      </c>
      <c r="T58" s="56" t="s">
        <v>215</v>
      </c>
      <c r="U58" t="s">
        <v>203</v>
      </c>
      <c r="W58" t="s">
        <v>123</v>
      </c>
      <c r="X58" s="9" t="s">
        <v>88</v>
      </c>
    </row>
    <row r="59" spans="1:25">
      <c r="A59" s="6">
        <v>46220</v>
      </c>
      <c r="B59" s="6">
        <v>46220</v>
      </c>
      <c r="C59" s="7">
        <f t="shared" si="54"/>
        <v>7</v>
      </c>
      <c r="D59" s="7">
        <f t="shared" si="55"/>
        <v>2026</v>
      </c>
      <c r="E59" s="7">
        <v>2026</v>
      </c>
      <c r="F59" s="46"/>
      <c r="G59" s="23"/>
      <c r="H59" s="7" t="s">
        <v>41</v>
      </c>
      <c r="I59" s="27">
        <f>-I58</f>
        <v>-1025.6399999999999</v>
      </c>
      <c r="J59" s="21">
        <v>0.17</v>
      </c>
      <c r="K59" s="8">
        <v>-174.36</v>
      </c>
      <c r="L59" s="8">
        <f t="shared" si="50"/>
        <v>-1200</v>
      </c>
      <c r="M59" s="8">
        <f t="shared" si="51"/>
        <v>64496.967000000004</v>
      </c>
      <c r="N59" s="9" t="s">
        <v>16</v>
      </c>
      <c r="O59" t="s">
        <v>17</v>
      </c>
      <c r="P59" s="43"/>
      <c r="Q59" s="43"/>
      <c r="S59" t="s">
        <v>186</v>
      </c>
      <c r="T59" s="56" t="s">
        <v>215</v>
      </c>
      <c r="U59" t="s">
        <v>203</v>
      </c>
      <c r="W59" t="s">
        <v>51</v>
      </c>
      <c r="X59" s="9" t="s">
        <v>88</v>
      </c>
    </row>
    <row r="60" spans="1:25">
      <c r="A60" s="6">
        <v>46224</v>
      </c>
      <c r="B60" s="6">
        <v>46224</v>
      </c>
      <c r="C60" s="7">
        <f t="shared" si="54"/>
        <v>7</v>
      </c>
      <c r="D60" s="7">
        <f t="shared" si="55"/>
        <v>2026</v>
      </c>
      <c r="E60" s="7">
        <v>2026</v>
      </c>
      <c r="F60" s="46"/>
      <c r="G60" s="23"/>
      <c r="H60" s="7" t="s">
        <v>41</v>
      </c>
      <c r="I60" s="8">
        <v>-250</v>
      </c>
      <c r="L60" s="8">
        <f t="shared" ref="L60:L62" si="56">I60+K60</f>
        <v>-250</v>
      </c>
      <c r="M60" s="8">
        <f t="shared" ref="M60:M62" si="57">M59+L60</f>
        <v>64246.967000000004</v>
      </c>
      <c r="N60" s="9" t="s">
        <v>16</v>
      </c>
      <c r="O60" t="s">
        <v>17</v>
      </c>
      <c r="Q60" t="s">
        <v>96</v>
      </c>
      <c r="S60" t="s">
        <v>93</v>
      </c>
      <c r="U60" t="s">
        <v>95</v>
      </c>
      <c r="V60" t="s">
        <v>82</v>
      </c>
      <c r="W60" t="s">
        <v>51</v>
      </c>
      <c r="X60" s="9" t="s">
        <v>88</v>
      </c>
    </row>
    <row r="61" spans="1:25">
      <c r="A61" s="6">
        <v>46230</v>
      </c>
      <c r="B61" s="6">
        <v>46230</v>
      </c>
      <c r="C61" s="7">
        <f t="shared" si="54"/>
        <v>7</v>
      </c>
      <c r="D61" s="7">
        <f t="shared" si="55"/>
        <v>2026</v>
      </c>
      <c r="E61" s="7">
        <v>2026</v>
      </c>
      <c r="F61" s="46">
        <v>287356</v>
      </c>
      <c r="G61" s="81">
        <f>F61/-I61</f>
        <v>5.7471199999999998</v>
      </c>
      <c r="H61" s="7" t="s">
        <v>41</v>
      </c>
      <c r="I61" s="8">
        <v>-50000</v>
      </c>
      <c r="L61" s="8">
        <f t="shared" si="56"/>
        <v>-50000</v>
      </c>
      <c r="M61" s="8">
        <f t="shared" si="57"/>
        <v>14246.967000000004</v>
      </c>
      <c r="N61" s="66" t="s">
        <v>11</v>
      </c>
      <c r="O61" s="43" t="s">
        <v>103</v>
      </c>
      <c r="P61" s="68" t="s">
        <v>101</v>
      </c>
      <c r="Q61" s="68" t="s">
        <v>102</v>
      </c>
      <c r="R61" s="43"/>
      <c r="S61" s="43" t="s">
        <v>104</v>
      </c>
      <c r="T61" s="67"/>
      <c r="U61" s="43" t="s">
        <v>100</v>
      </c>
      <c r="V61" s="43" t="s">
        <v>82</v>
      </c>
      <c r="W61" s="43" t="s">
        <v>51</v>
      </c>
      <c r="X61" s="9" t="s">
        <v>88</v>
      </c>
    </row>
    <row r="62" spans="1:25">
      <c r="A62" s="6">
        <v>46230</v>
      </c>
      <c r="B62" s="6">
        <v>46230</v>
      </c>
      <c r="C62" s="7">
        <f t="shared" si="54"/>
        <v>7</v>
      </c>
      <c r="D62" s="7">
        <f t="shared" si="55"/>
        <v>2026</v>
      </c>
      <c r="E62" s="7">
        <v>2026</v>
      </c>
      <c r="F62" s="46"/>
      <c r="G62" s="23"/>
      <c r="H62" s="7" t="s">
        <v>41</v>
      </c>
      <c r="I62" s="8">
        <v>-25</v>
      </c>
      <c r="L62" s="8">
        <f t="shared" si="56"/>
        <v>-25</v>
      </c>
      <c r="M62" s="8">
        <f t="shared" si="57"/>
        <v>14221.967000000004</v>
      </c>
      <c r="N62" s="9" t="s">
        <v>16</v>
      </c>
      <c r="O62" t="s">
        <v>17</v>
      </c>
      <c r="Q62" t="s">
        <v>96</v>
      </c>
      <c r="S62" t="s">
        <v>93</v>
      </c>
      <c r="U62" t="s">
        <v>95</v>
      </c>
      <c r="V62" t="s">
        <v>82</v>
      </c>
      <c r="W62" t="s">
        <v>51</v>
      </c>
      <c r="X62" s="9" t="s">
        <v>88</v>
      </c>
    </row>
    <row r="63" spans="1:25">
      <c r="F63" s="46"/>
      <c r="L63" s="6"/>
      <c r="M63" s="68"/>
      <c r="N63" s="69"/>
      <c r="O63" s="68"/>
      <c r="P63" s="68"/>
      <c r="Q63" s="68"/>
      <c r="R63" s="70"/>
    </row>
    <row r="64" spans="1:25" ht="15.75" thickBot="1">
      <c r="F64" s="46"/>
    </row>
    <row r="65" spans="3:25" ht="16.5" thickBot="1">
      <c r="F65" s="185">
        <f>SUM(F2:F64)</f>
        <v>1443941</v>
      </c>
      <c r="G65" s="186">
        <f>F65/-I65</f>
        <v>6.0164208333333331</v>
      </c>
      <c r="H65" s="187"/>
      <c r="I65" s="188">
        <f>I20+I26+I32+I51+I61</f>
        <v>-240000</v>
      </c>
      <c r="L65" s="45">
        <f>SUBTOTAL(9,L2:L64)</f>
        <v>14221.967000000004</v>
      </c>
    </row>
    <row r="66" spans="3:25">
      <c r="F66" s="46"/>
    </row>
    <row r="67" spans="3:25">
      <c r="F67" s="46"/>
    </row>
    <row r="68" spans="3:25">
      <c r="C68" s="7" t="str">
        <f t="shared" ref="C68:C70" si="58">IF(B68="","",MONTH(B68))</f>
        <v/>
      </c>
      <c r="D68" s="7" t="str">
        <f t="shared" ref="D68:D70" si="59">IF(B68="","",YEAR(B68))</f>
        <v/>
      </c>
      <c r="F68" s="46"/>
      <c r="G68" s="23"/>
      <c r="H68" s="7" t="s">
        <v>41</v>
      </c>
      <c r="I68" s="8">
        <v>0</v>
      </c>
      <c r="J68" s="21">
        <v>0.17</v>
      </c>
      <c r="K68" s="8">
        <f t="shared" ref="K68:K69" si="60">I68*J68</f>
        <v>0</v>
      </c>
      <c r="L68" s="8">
        <f t="shared" ref="L68:L70" si="61">I68+K68</f>
        <v>0</v>
      </c>
      <c r="M68" s="8">
        <f t="shared" ref="M68:M70" si="62">M67+L68</f>
        <v>0</v>
      </c>
      <c r="N68" s="9" t="s">
        <v>16</v>
      </c>
      <c r="O68" t="s">
        <v>17</v>
      </c>
      <c r="Q68" t="s">
        <v>42</v>
      </c>
      <c r="S68" t="s">
        <v>196</v>
      </c>
      <c r="T68" s="56" t="s">
        <v>138</v>
      </c>
      <c r="U68" t="s">
        <v>68</v>
      </c>
      <c r="W68" t="s">
        <v>51</v>
      </c>
      <c r="X68" s="9" t="s">
        <v>124</v>
      </c>
      <c r="Y68" s="9" t="s">
        <v>37</v>
      </c>
    </row>
    <row r="69" spans="3:25">
      <c r="C69" s="7" t="str">
        <f t="shared" si="58"/>
        <v/>
      </c>
      <c r="D69" s="7" t="str">
        <f t="shared" si="59"/>
        <v/>
      </c>
      <c r="F69" s="46"/>
      <c r="G69" s="23"/>
      <c r="H69" s="7" t="s">
        <v>41</v>
      </c>
      <c r="I69" s="8">
        <v>0</v>
      </c>
      <c r="J69" s="21">
        <v>0.17</v>
      </c>
      <c r="K69" s="8">
        <f t="shared" si="60"/>
        <v>0</v>
      </c>
      <c r="L69" s="8">
        <f t="shared" si="61"/>
        <v>0</v>
      </c>
      <c r="M69" s="8">
        <f t="shared" si="62"/>
        <v>0</v>
      </c>
      <c r="N69" s="9" t="s">
        <v>16</v>
      </c>
      <c r="O69" t="s">
        <v>17</v>
      </c>
      <c r="Q69" t="s">
        <v>42</v>
      </c>
      <c r="S69" t="s">
        <v>84</v>
      </c>
      <c r="U69" t="s">
        <v>30</v>
      </c>
      <c r="V69" t="s">
        <v>82</v>
      </c>
      <c r="W69" t="s">
        <v>51</v>
      </c>
      <c r="X69" s="9" t="s">
        <v>124</v>
      </c>
      <c r="Y69" s="9" t="s">
        <v>37</v>
      </c>
    </row>
    <row r="70" spans="3:25">
      <c r="C70" s="7" t="str">
        <f t="shared" si="58"/>
        <v/>
      </c>
      <c r="D70" s="7" t="str">
        <f t="shared" si="59"/>
        <v/>
      </c>
      <c r="F70" s="46"/>
      <c r="G70" s="23"/>
      <c r="H70" s="7" t="s">
        <v>41</v>
      </c>
      <c r="I70" s="8">
        <f>-I69</f>
        <v>0</v>
      </c>
      <c r="J70" s="21">
        <v>0.17</v>
      </c>
      <c r="K70" s="8">
        <f t="shared" ref="K70" si="63">-K69</f>
        <v>0</v>
      </c>
      <c r="L70" s="8">
        <f t="shared" si="61"/>
        <v>0</v>
      </c>
      <c r="M70" s="8">
        <f t="shared" si="62"/>
        <v>0</v>
      </c>
      <c r="N70" s="9" t="s">
        <v>16</v>
      </c>
      <c r="O70" t="s">
        <v>17</v>
      </c>
      <c r="Q70" t="s">
        <v>42</v>
      </c>
      <c r="S70" t="s">
        <v>84</v>
      </c>
      <c r="U70" t="s">
        <v>30</v>
      </c>
      <c r="V70" t="s">
        <v>82</v>
      </c>
      <c r="W70" t="s">
        <v>51</v>
      </c>
      <c r="X70" s="9" t="s">
        <v>124</v>
      </c>
      <c r="Y70" s="9" t="s">
        <v>37</v>
      </c>
    </row>
  </sheetData>
  <autoFilter ref="A1:Y70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topLeftCell="A7" workbookViewId="0">
      <selection activeCell="D10" sqref="D10:D30"/>
    </sheetView>
  </sheetViews>
  <sheetFormatPr defaultColWidth="9.140625" defaultRowHeight="15"/>
  <cols>
    <col min="1" max="1" width="78.140625" customWidth="1"/>
    <col min="2" max="2" width="14.7109375" customWidth="1"/>
    <col min="3" max="3" width="18.140625" customWidth="1"/>
    <col min="4" max="4" width="18" customWidth="1"/>
    <col min="5" max="6" width="14.7109375" customWidth="1"/>
    <col min="7" max="7" width="18.28515625" bestFit="1" customWidth="1"/>
  </cols>
  <sheetData>
    <row r="1" spans="1:7">
      <c r="A1" s="10" t="s">
        <v>7</v>
      </c>
      <c r="B1" t="s">
        <v>136</v>
      </c>
    </row>
    <row r="2" spans="1:7">
      <c r="A2" s="10" t="s">
        <v>9</v>
      </c>
      <c r="B2" t="s">
        <v>137</v>
      </c>
    </row>
    <row r="3" spans="1:7">
      <c r="A3" s="10" t="s">
        <v>87</v>
      </c>
      <c r="B3" t="s">
        <v>88</v>
      </c>
    </row>
    <row r="5" spans="1:7" s="9" customFormat="1">
      <c r="A5" s="10" t="s">
        <v>15</v>
      </c>
      <c r="B5" s="10" t="s">
        <v>133</v>
      </c>
      <c r="C5"/>
      <c r="D5"/>
      <c r="E5"/>
      <c r="F5"/>
      <c r="G5"/>
    </row>
    <row r="6" spans="1:7">
      <c r="A6" s="42" t="s">
        <v>134</v>
      </c>
      <c r="B6" s="9">
        <v>2025</v>
      </c>
      <c r="C6">
        <v>2026</v>
      </c>
      <c r="D6" s="9" t="s">
        <v>135</v>
      </c>
    </row>
    <row r="7" spans="1:7">
      <c r="A7" s="11" t="s">
        <v>43</v>
      </c>
      <c r="B7" s="8"/>
      <c r="C7" s="8"/>
      <c r="D7" s="8"/>
    </row>
    <row r="8" spans="1:7">
      <c r="A8" s="12" t="s">
        <v>46</v>
      </c>
      <c r="B8" s="8"/>
      <c r="C8" s="8"/>
      <c r="D8" s="8"/>
    </row>
    <row r="9" spans="1:7">
      <c r="A9" s="13" t="s">
        <v>119</v>
      </c>
      <c r="B9" s="8"/>
      <c r="C9" s="8"/>
      <c r="D9" s="8"/>
    </row>
    <row r="10" spans="1:7">
      <c r="A10" s="82" t="s">
        <v>47</v>
      </c>
      <c r="B10" s="8">
        <v>20000</v>
      </c>
      <c r="C10" s="8"/>
      <c r="D10" s="8">
        <v>20000</v>
      </c>
    </row>
    <row r="11" spans="1:7">
      <c r="A11" s="13" t="s">
        <v>120</v>
      </c>
      <c r="B11" s="8"/>
      <c r="C11" s="8"/>
      <c r="D11" s="8"/>
    </row>
    <row r="12" spans="1:7">
      <c r="A12" s="82" t="s">
        <v>47</v>
      </c>
      <c r="B12" s="8">
        <v>20000</v>
      </c>
      <c r="C12" s="8"/>
      <c r="D12" s="8">
        <v>20000</v>
      </c>
    </row>
    <row r="13" spans="1:7">
      <c r="A13" s="13" t="s">
        <v>121</v>
      </c>
      <c r="B13" s="8"/>
      <c r="C13" s="8"/>
      <c r="D13" s="8"/>
    </row>
    <row r="14" spans="1:7">
      <c r="A14" s="82" t="s">
        <v>47</v>
      </c>
      <c r="B14" s="8">
        <v>40000</v>
      </c>
      <c r="C14" s="8"/>
      <c r="D14" s="8">
        <v>40000</v>
      </c>
    </row>
    <row r="15" spans="1:7">
      <c r="A15" s="13" t="s">
        <v>30</v>
      </c>
      <c r="B15" s="8"/>
      <c r="C15" s="8"/>
      <c r="D15" s="8"/>
    </row>
    <row r="16" spans="1:7">
      <c r="A16" s="82" t="s">
        <v>47</v>
      </c>
      <c r="B16" s="8">
        <v>40000</v>
      </c>
      <c r="C16" s="8"/>
      <c r="D16" s="8">
        <v>40000</v>
      </c>
    </row>
    <row r="17" spans="1:4">
      <c r="A17" s="13" t="s">
        <v>127</v>
      </c>
      <c r="B17" s="8"/>
      <c r="C17" s="8"/>
      <c r="D17" s="8"/>
    </row>
    <row r="18" spans="1:4">
      <c r="A18" s="82" t="s">
        <v>47</v>
      </c>
      <c r="B18" s="8">
        <v>20000</v>
      </c>
      <c r="C18" s="8"/>
      <c r="D18" s="8">
        <v>20000</v>
      </c>
    </row>
    <row r="19" spans="1:4">
      <c r="A19" s="13" t="s">
        <v>31</v>
      </c>
      <c r="B19" s="8"/>
      <c r="C19" s="8"/>
      <c r="D19" s="8"/>
    </row>
    <row r="20" spans="1:4">
      <c r="A20" s="82" t="s">
        <v>47</v>
      </c>
      <c r="B20" s="8">
        <v>20000</v>
      </c>
      <c r="C20" s="8"/>
      <c r="D20" s="8">
        <v>20000</v>
      </c>
    </row>
    <row r="21" spans="1:4">
      <c r="A21" s="13" t="s">
        <v>128</v>
      </c>
      <c r="B21" s="8"/>
      <c r="C21" s="8"/>
      <c r="D21" s="8"/>
    </row>
    <row r="22" spans="1:4">
      <c r="A22" s="82" t="s">
        <v>47</v>
      </c>
      <c r="B22" s="8">
        <v>20000</v>
      </c>
      <c r="C22" s="8"/>
      <c r="D22" s="8">
        <v>20000</v>
      </c>
    </row>
    <row r="23" spans="1:4">
      <c r="A23" s="13" t="s">
        <v>129</v>
      </c>
      <c r="B23" s="8"/>
      <c r="C23" s="8"/>
      <c r="D23" s="8"/>
    </row>
    <row r="24" spans="1:4">
      <c r="A24" s="82" t="s">
        <v>47</v>
      </c>
      <c r="B24" s="8">
        <v>20000</v>
      </c>
      <c r="C24" s="8"/>
      <c r="D24" s="8">
        <v>20000</v>
      </c>
    </row>
    <row r="25" spans="1:4">
      <c r="A25" s="13" t="s">
        <v>203</v>
      </c>
      <c r="B25" s="8"/>
      <c r="C25" s="8"/>
      <c r="D25" s="8"/>
    </row>
    <row r="26" spans="1:4">
      <c r="A26" s="82" t="s">
        <v>47</v>
      </c>
      <c r="B26" s="8">
        <v>1000</v>
      </c>
      <c r="C26" s="8"/>
      <c r="D26" s="8">
        <v>1000</v>
      </c>
    </row>
    <row r="27" spans="1:4">
      <c r="A27" s="13" t="s">
        <v>207</v>
      </c>
      <c r="B27" s="8"/>
      <c r="C27" s="8"/>
      <c r="D27" s="8"/>
    </row>
    <row r="28" spans="1:4">
      <c r="A28" s="82" t="s">
        <v>47</v>
      </c>
      <c r="B28" s="8"/>
      <c r="C28" s="8">
        <v>40000</v>
      </c>
      <c r="D28" s="8">
        <v>40000</v>
      </c>
    </row>
    <row r="29" spans="1:4">
      <c r="A29" s="13" t="s">
        <v>208</v>
      </c>
      <c r="B29" s="8"/>
      <c r="C29" s="8"/>
      <c r="D29" s="8"/>
    </row>
    <row r="30" spans="1:4">
      <c r="A30" s="82" t="s">
        <v>47</v>
      </c>
      <c r="B30" s="8"/>
      <c r="C30" s="8">
        <v>20000</v>
      </c>
      <c r="D30" s="8">
        <v>20000</v>
      </c>
    </row>
    <row r="31" spans="1:4">
      <c r="A31" s="11" t="s">
        <v>103</v>
      </c>
      <c r="B31" s="8"/>
      <c r="C31" s="8"/>
      <c r="D31" s="8"/>
    </row>
    <row r="32" spans="1:4">
      <c r="A32" s="12" t="s">
        <v>102</v>
      </c>
      <c r="B32" s="8"/>
      <c r="C32" s="8"/>
      <c r="D32" s="8"/>
    </row>
    <row r="33" spans="1:4">
      <c r="A33" s="13" t="s">
        <v>100</v>
      </c>
      <c r="B33" s="8"/>
      <c r="C33" s="8"/>
      <c r="D33" s="8"/>
    </row>
    <row r="34" spans="1:4">
      <c r="A34" s="82" t="s">
        <v>104</v>
      </c>
      <c r="B34" s="8">
        <v>-150000</v>
      </c>
      <c r="C34" s="8">
        <v>-90000</v>
      </c>
      <c r="D34" s="8">
        <v>-240000</v>
      </c>
    </row>
    <row r="35" spans="1:4">
      <c r="A35" s="11" t="s">
        <v>17</v>
      </c>
      <c r="B35" s="8"/>
      <c r="C35" s="8"/>
      <c r="D35" s="8"/>
    </row>
    <row r="36" spans="1:4">
      <c r="A36" s="12" t="s">
        <v>96</v>
      </c>
      <c r="B36" s="8"/>
      <c r="C36" s="8"/>
      <c r="D36" s="8"/>
    </row>
    <row r="37" spans="1:4">
      <c r="A37" s="13" t="s">
        <v>95</v>
      </c>
      <c r="B37" s="8"/>
      <c r="C37" s="8"/>
      <c r="D37" s="8"/>
    </row>
    <row r="38" spans="1:4">
      <c r="A38" s="82" t="s">
        <v>93</v>
      </c>
      <c r="B38" s="8">
        <v>-277</v>
      </c>
      <c r="C38" s="8">
        <v>-784</v>
      </c>
      <c r="D38" s="8">
        <v>-1061</v>
      </c>
    </row>
    <row r="39" spans="1:4">
      <c r="A39" s="12" t="s">
        <v>42</v>
      </c>
      <c r="B39" s="8"/>
      <c r="C39" s="8"/>
      <c r="D39" s="8"/>
    </row>
    <row r="40" spans="1:4">
      <c r="A40" s="13" t="s">
        <v>33</v>
      </c>
      <c r="B40" s="8"/>
      <c r="C40" s="8"/>
      <c r="D40" s="8"/>
    </row>
    <row r="41" spans="1:4">
      <c r="A41" s="82" t="s">
        <v>202</v>
      </c>
      <c r="B41" s="8">
        <v>-203.39519999999999</v>
      </c>
      <c r="C41" s="8"/>
      <c r="D41" s="8">
        <v>-203.39519999999999</v>
      </c>
    </row>
    <row r="42" spans="1:4">
      <c r="A42" s="13" t="s">
        <v>68</v>
      </c>
      <c r="B42" s="8"/>
      <c r="C42" s="8"/>
      <c r="D42" s="8"/>
    </row>
    <row r="43" spans="1:4">
      <c r="A43" s="82" t="s">
        <v>196</v>
      </c>
      <c r="B43" s="8">
        <v>-35.1</v>
      </c>
      <c r="C43" s="8">
        <v>-17.55</v>
      </c>
      <c r="D43" s="8">
        <v>-52.650000000000006</v>
      </c>
    </row>
    <row r="44" spans="1:4">
      <c r="A44" s="13" t="s">
        <v>50</v>
      </c>
      <c r="B44" s="8"/>
      <c r="C44" s="8"/>
      <c r="D44" s="8"/>
    </row>
    <row r="45" spans="1:4">
      <c r="A45" s="82" t="s">
        <v>49</v>
      </c>
      <c r="B45" s="8">
        <v>-12</v>
      </c>
      <c r="C45" s="8"/>
      <c r="D45" s="8">
        <v>-12</v>
      </c>
    </row>
    <row r="46" spans="1:4">
      <c r="A46" s="82" t="s">
        <v>67</v>
      </c>
      <c r="B46" s="8">
        <v>-123.9147</v>
      </c>
      <c r="C46" s="8"/>
      <c r="D46" s="8">
        <v>-123.9147</v>
      </c>
    </row>
    <row r="47" spans="1:4">
      <c r="A47" s="82" t="s">
        <v>204</v>
      </c>
      <c r="B47" s="8">
        <v>-25.0731</v>
      </c>
      <c r="C47" s="8"/>
      <c r="D47" s="8">
        <v>-25.0731</v>
      </c>
    </row>
    <row r="48" spans="1:4">
      <c r="A48" s="13" t="s">
        <v>30</v>
      </c>
      <c r="B48" s="8"/>
      <c r="C48" s="8"/>
      <c r="D48" s="8"/>
    </row>
    <row r="49" spans="1:4">
      <c r="A49" s="82" t="s">
        <v>84</v>
      </c>
      <c r="B49" s="8">
        <v>0</v>
      </c>
      <c r="C49" s="8">
        <v>0</v>
      </c>
      <c r="D49" s="8">
        <v>0</v>
      </c>
    </row>
    <row r="50" spans="1:4">
      <c r="A50" s="13" t="s">
        <v>206</v>
      </c>
      <c r="B50" s="8"/>
      <c r="C50" s="8"/>
      <c r="D50" s="8"/>
    </row>
    <row r="51" spans="1:4">
      <c r="A51" s="82" t="s">
        <v>205</v>
      </c>
      <c r="B51" s="8">
        <v>-100</v>
      </c>
      <c r="C51" s="8"/>
      <c r="D51" s="8">
        <v>-100</v>
      </c>
    </row>
    <row r="52" spans="1:4">
      <c r="A52" s="12" t="s">
        <v>187</v>
      </c>
      <c r="B52" s="8"/>
      <c r="C52" s="8"/>
      <c r="D52" s="8"/>
    </row>
    <row r="53" spans="1:4">
      <c r="A53" s="13" t="s">
        <v>203</v>
      </c>
      <c r="B53" s="8"/>
      <c r="C53" s="8"/>
      <c r="D53" s="8"/>
    </row>
    <row r="54" spans="1:4">
      <c r="A54" s="82" t="s">
        <v>186</v>
      </c>
      <c r="B54" s="8"/>
      <c r="C54" s="8">
        <v>-5200</v>
      </c>
      <c r="D54" s="8">
        <v>-5200</v>
      </c>
    </row>
    <row r="55" spans="1:4">
      <c r="A55" s="11" t="s">
        <v>135</v>
      </c>
      <c r="B55" s="8">
        <v>50223.517</v>
      </c>
      <c r="C55" s="8">
        <v>-36001.550000000003</v>
      </c>
      <c r="D55" s="8">
        <v>14221.966999999997</v>
      </c>
    </row>
  </sheetData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4937-3187-41DC-9599-4DA75B3195BC}">
  <dimension ref="A1:M53"/>
  <sheetViews>
    <sheetView topLeftCell="B18" zoomScaleNormal="100" workbookViewId="0">
      <selection activeCell="G49" sqref="G49"/>
    </sheetView>
  </sheetViews>
  <sheetFormatPr defaultColWidth="8.7109375" defaultRowHeight="15"/>
  <cols>
    <col min="1" max="1" width="6.140625" customWidth="1"/>
    <col min="2" max="2" width="13.85546875" customWidth="1"/>
    <col min="3" max="3" width="28.85546875" customWidth="1"/>
    <col min="4" max="4" width="11.28515625" customWidth="1"/>
    <col min="5" max="5" width="14.140625" bestFit="1" customWidth="1"/>
    <col min="6" max="6" width="17.140625" customWidth="1"/>
    <col min="7" max="7" width="14.42578125" customWidth="1"/>
    <col min="8" max="8" width="17.5703125" customWidth="1"/>
    <col min="9" max="9" width="2.85546875" customWidth="1"/>
    <col min="10" max="10" width="14.28515625" customWidth="1"/>
    <col min="11" max="11" width="13.42578125" customWidth="1"/>
    <col min="12" max="12" width="8.7109375" style="90" customWidth="1"/>
  </cols>
  <sheetData>
    <row r="1" spans="1:13" ht="21">
      <c r="C1" s="80" t="s">
        <v>118</v>
      </c>
      <c r="F1" s="89" t="s">
        <v>149</v>
      </c>
      <c r="G1" s="180">
        <f>[1]Tasso!$E$1</f>
        <v>46204</v>
      </c>
      <c r="H1" s="94">
        <f>[1]Tasso!$C$18</f>
        <v>5.8822830000000002</v>
      </c>
      <c r="J1" s="4" t="s">
        <v>150</v>
      </c>
      <c r="K1" s="4" t="s">
        <v>151</v>
      </c>
      <c r="L1" s="20" t="s">
        <v>152</v>
      </c>
    </row>
    <row r="2" spans="1:13">
      <c r="A2" s="73">
        <v>1</v>
      </c>
      <c r="B2" s="179" t="s">
        <v>190</v>
      </c>
      <c r="C2" s="74" t="s">
        <v>100</v>
      </c>
      <c r="D2" s="75"/>
      <c r="E2" s="75"/>
      <c r="F2" s="75"/>
      <c r="G2" s="75"/>
      <c r="H2" s="95"/>
      <c r="J2" s="86"/>
      <c r="K2" s="87"/>
      <c r="L2" s="91"/>
    </row>
    <row r="3" spans="1:13">
      <c r="A3" s="76"/>
      <c r="B3" s="96"/>
      <c r="C3" s="14"/>
      <c r="D3" s="173">
        <v>45975</v>
      </c>
      <c r="E3" t="s">
        <v>117</v>
      </c>
      <c r="F3" s="84">
        <v>50000</v>
      </c>
      <c r="G3" s="14"/>
      <c r="H3" s="97"/>
      <c r="J3" s="76"/>
      <c r="K3" s="88"/>
      <c r="L3" s="92"/>
    </row>
    <row r="4" spans="1:13">
      <c r="A4" s="76"/>
      <c r="B4" s="96"/>
      <c r="C4" s="14"/>
      <c r="D4" s="14"/>
      <c r="E4" t="s">
        <v>107</v>
      </c>
      <c r="F4" s="71">
        <v>-25</v>
      </c>
      <c r="G4" s="14"/>
      <c r="H4" s="97"/>
      <c r="J4" s="76"/>
      <c r="K4" s="88"/>
      <c r="L4" s="92"/>
    </row>
    <row r="5" spans="1:13">
      <c r="A5" s="76"/>
      <c r="B5" s="96" t="s">
        <v>113</v>
      </c>
      <c r="C5" s="174" t="s">
        <v>108</v>
      </c>
      <c r="D5" s="14"/>
      <c r="F5" s="28">
        <f>SUM(F3:F4)</f>
        <v>49975</v>
      </c>
      <c r="G5" s="175">
        <v>6.1312929100569997</v>
      </c>
      <c r="H5" s="98">
        <f>F5*G5</f>
        <v>306411.36318009859</v>
      </c>
      <c r="J5" s="76"/>
      <c r="K5" s="88"/>
      <c r="L5" s="92"/>
    </row>
    <row r="6" spans="1:13">
      <c r="A6" s="76"/>
      <c r="B6" s="96"/>
      <c r="C6" s="77" t="s">
        <v>109</v>
      </c>
      <c r="D6" s="14"/>
      <c r="E6" s="27"/>
      <c r="F6" s="27"/>
      <c r="G6" s="14"/>
      <c r="H6" s="98">
        <f>H8-H5</f>
        <v>-1164.3631800985895</v>
      </c>
      <c r="J6" s="76"/>
      <c r="K6" s="88"/>
      <c r="L6" s="92"/>
    </row>
    <row r="7" spans="1:13">
      <c r="A7" s="76"/>
      <c r="B7" s="96"/>
      <c r="C7" s="77" t="s">
        <v>110</v>
      </c>
      <c r="D7" s="14"/>
      <c r="E7" s="27"/>
      <c r="F7" s="27"/>
      <c r="G7" s="72"/>
      <c r="H7" s="99"/>
      <c r="J7" s="76"/>
      <c r="K7" s="88"/>
      <c r="L7" s="92"/>
    </row>
    <row r="8" spans="1:13">
      <c r="A8" s="76"/>
      <c r="B8" s="96"/>
      <c r="C8" s="77" t="s">
        <v>111</v>
      </c>
      <c r="D8" s="173">
        <v>45975</v>
      </c>
      <c r="E8" s="77" t="s">
        <v>106</v>
      </c>
      <c r="F8" s="176"/>
      <c r="G8" s="177">
        <f>H8/F5</f>
        <v>6.1079939969984993</v>
      </c>
      <c r="H8" s="98">
        <v>305247</v>
      </c>
      <c r="J8" s="76"/>
      <c r="K8" s="88"/>
      <c r="L8" s="92"/>
    </row>
    <row r="9" spans="1:13">
      <c r="A9" s="76"/>
      <c r="B9" s="96"/>
      <c r="C9" s="14"/>
      <c r="D9" s="14"/>
      <c r="E9" s="77" t="s">
        <v>107</v>
      </c>
      <c r="F9" s="176"/>
      <c r="G9" s="14"/>
      <c r="H9" s="100">
        <v>-7</v>
      </c>
      <c r="J9" s="76"/>
      <c r="K9" s="88"/>
      <c r="L9" s="92"/>
    </row>
    <row r="10" spans="1:13">
      <c r="A10" s="76"/>
      <c r="B10" s="76"/>
      <c r="D10" s="14"/>
      <c r="E10" s="14"/>
      <c r="F10" s="14"/>
      <c r="G10" s="14"/>
      <c r="H10" s="83">
        <f>SUM(H8:H9)</f>
        <v>305240</v>
      </c>
      <c r="J10" s="181">
        <f>H10/$H$1</f>
        <v>51891.416988947996</v>
      </c>
      <c r="K10" s="182">
        <f>J10-F3</f>
        <v>1891.4169889479963</v>
      </c>
      <c r="L10" s="93">
        <f>K10/F3</f>
        <v>3.7828339778959927E-2</v>
      </c>
    </row>
    <row r="11" spans="1:13">
      <c r="A11" s="73">
        <v>2</v>
      </c>
      <c r="B11" s="179" t="s">
        <v>191</v>
      </c>
      <c r="C11" s="74" t="s">
        <v>100</v>
      </c>
      <c r="D11" s="75"/>
      <c r="E11" s="75"/>
      <c r="F11" s="75"/>
      <c r="G11" s="75"/>
      <c r="H11" s="95"/>
      <c r="J11" s="76"/>
      <c r="K11" s="88"/>
      <c r="L11" s="92"/>
    </row>
    <row r="12" spans="1:13">
      <c r="A12" s="76"/>
      <c r="B12" s="96"/>
      <c r="C12" s="14"/>
      <c r="D12" s="173">
        <v>45993</v>
      </c>
      <c r="E12" t="s">
        <v>117</v>
      </c>
      <c r="F12" s="84">
        <v>50000</v>
      </c>
      <c r="G12" s="14"/>
      <c r="H12" s="98"/>
      <c r="J12" s="76"/>
      <c r="K12" s="88"/>
      <c r="L12" s="92"/>
    </row>
    <row r="13" spans="1:13">
      <c r="A13" s="76"/>
      <c r="B13" s="96"/>
      <c r="C13" s="14"/>
      <c r="D13" s="14"/>
      <c r="E13" t="s">
        <v>107</v>
      </c>
      <c r="F13" s="71">
        <v>-25</v>
      </c>
      <c r="G13" s="14"/>
      <c r="H13" s="98"/>
      <c r="J13" s="76"/>
      <c r="K13" s="88"/>
      <c r="L13" s="92"/>
    </row>
    <row r="14" spans="1:13">
      <c r="A14" s="76"/>
      <c r="B14" s="96" t="s">
        <v>113</v>
      </c>
      <c r="C14" s="174" t="s">
        <v>108</v>
      </c>
      <c r="D14" s="14"/>
      <c r="F14" s="28">
        <f>SUM(F12:F13)</f>
        <v>49975</v>
      </c>
      <c r="G14" s="178">
        <v>6.1281239999999997</v>
      </c>
      <c r="H14" s="98">
        <f>F14*G14</f>
        <v>306252.99689999997</v>
      </c>
      <c r="J14" s="76"/>
      <c r="K14" s="88"/>
      <c r="L14" s="92"/>
      <c r="M14" t="s">
        <v>112</v>
      </c>
    </row>
    <row r="15" spans="1:13">
      <c r="A15" s="76"/>
      <c r="B15" s="96"/>
      <c r="C15" s="77" t="s">
        <v>109</v>
      </c>
      <c r="D15" s="14"/>
      <c r="E15" s="27"/>
      <c r="F15" s="27"/>
      <c r="G15" s="14"/>
      <c r="H15" s="98"/>
      <c r="J15" s="76"/>
      <c r="K15" s="88"/>
      <c r="L15" s="92"/>
    </row>
    <row r="16" spans="1:13">
      <c r="A16" s="76"/>
      <c r="B16" s="96"/>
      <c r="C16" s="77" t="s">
        <v>110</v>
      </c>
      <c r="D16" s="14"/>
      <c r="E16" s="27"/>
      <c r="F16" s="27"/>
      <c r="G16" s="72"/>
      <c r="H16" s="99"/>
      <c r="J16" s="76"/>
      <c r="K16" s="88"/>
      <c r="L16" s="92"/>
    </row>
    <row r="17" spans="1:13">
      <c r="A17" s="76"/>
      <c r="B17" s="96"/>
      <c r="C17" s="77" t="s">
        <v>111</v>
      </c>
      <c r="D17" s="173"/>
      <c r="E17" s="77" t="s">
        <v>106</v>
      </c>
      <c r="F17" s="176"/>
      <c r="G17" s="177">
        <f>H17/F14</f>
        <v>6.1281239999999997</v>
      </c>
      <c r="H17" s="98">
        <f>SUM(H14:H16)</f>
        <v>306252.99689999997</v>
      </c>
      <c r="J17" s="76"/>
      <c r="K17" s="88"/>
      <c r="L17" s="92"/>
    </row>
    <row r="18" spans="1:13">
      <c r="A18" s="76"/>
      <c r="B18" s="96"/>
      <c r="C18" s="14"/>
      <c r="D18" s="14"/>
      <c r="E18" s="77" t="s">
        <v>107</v>
      </c>
      <c r="F18" s="176"/>
      <c r="G18" s="14"/>
      <c r="H18" s="100">
        <v>-7</v>
      </c>
      <c r="J18" s="76"/>
      <c r="K18" s="88"/>
      <c r="L18" s="92"/>
    </row>
    <row r="19" spans="1:13">
      <c r="A19" s="76"/>
      <c r="B19" s="76"/>
      <c r="D19" s="14"/>
      <c r="E19" t="s">
        <v>126</v>
      </c>
      <c r="F19" s="14"/>
      <c r="G19" s="14"/>
      <c r="H19" s="83">
        <f>SUM(H17:H18)</f>
        <v>306245.99689999997</v>
      </c>
      <c r="J19" s="181">
        <f>H19/$H$1</f>
        <v>52062.438495393704</v>
      </c>
      <c r="K19" s="182">
        <f>J19-F12</f>
        <v>2062.4384953937042</v>
      </c>
      <c r="L19" s="93">
        <f>K19/F12</f>
        <v>4.1248769907874086E-2</v>
      </c>
    </row>
    <row r="20" spans="1:13">
      <c r="A20" s="73">
        <v>2</v>
      </c>
      <c r="B20" s="179" t="s">
        <v>192</v>
      </c>
      <c r="C20" s="74" t="s">
        <v>100</v>
      </c>
      <c r="D20" s="75"/>
      <c r="E20" s="75"/>
      <c r="F20" s="75"/>
      <c r="G20" s="75"/>
      <c r="H20" s="95"/>
      <c r="J20" s="76"/>
      <c r="K20" s="88"/>
      <c r="L20" s="92"/>
    </row>
    <row r="21" spans="1:13">
      <c r="A21" s="76"/>
      <c r="B21" s="96"/>
      <c r="C21" s="14"/>
      <c r="D21" s="173">
        <v>46007</v>
      </c>
      <c r="E21" t="s">
        <v>117</v>
      </c>
      <c r="F21" s="84">
        <v>50000</v>
      </c>
      <c r="G21" s="14"/>
      <c r="H21" s="98"/>
      <c r="J21" s="76"/>
      <c r="K21" s="88"/>
      <c r="L21" s="92"/>
    </row>
    <row r="22" spans="1:13">
      <c r="A22" s="76"/>
      <c r="B22" s="96"/>
      <c r="C22" s="14"/>
      <c r="D22" s="14"/>
      <c r="E22" t="s">
        <v>107</v>
      </c>
      <c r="F22" s="71">
        <v>-25</v>
      </c>
      <c r="G22" s="14"/>
      <c r="H22" s="98"/>
      <c r="J22" s="76"/>
      <c r="K22" s="88"/>
      <c r="L22" s="92"/>
    </row>
    <row r="23" spans="1:13">
      <c r="A23" s="76"/>
      <c r="B23" s="96" t="s">
        <v>113</v>
      </c>
      <c r="C23" s="174" t="s">
        <v>108</v>
      </c>
      <c r="D23" s="14"/>
      <c r="F23" s="28">
        <f>SUM(F21:F22)</f>
        <v>49975</v>
      </c>
      <c r="G23" s="178">
        <v>6.36</v>
      </c>
      <c r="H23" s="98">
        <v>317848</v>
      </c>
      <c r="J23" s="76"/>
      <c r="K23" s="88"/>
      <c r="L23" s="92"/>
      <c r="M23" t="s">
        <v>112</v>
      </c>
    </row>
    <row r="24" spans="1:13">
      <c r="A24" s="76"/>
      <c r="B24" s="96"/>
      <c r="C24" s="77" t="s">
        <v>109</v>
      </c>
      <c r="D24" s="14"/>
      <c r="E24" s="27"/>
      <c r="F24" s="27"/>
      <c r="G24" s="14"/>
      <c r="H24" s="98"/>
      <c r="J24" s="76"/>
      <c r="K24" s="88"/>
      <c r="L24" s="92"/>
    </row>
    <row r="25" spans="1:13">
      <c r="A25" s="76"/>
      <c r="B25" s="96"/>
      <c r="C25" s="77" t="s">
        <v>110</v>
      </c>
      <c r="D25" s="14"/>
      <c r="E25" s="27"/>
      <c r="F25" s="27"/>
      <c r="G25" s="72"/>
      <c r="H25" s="99"/>
      <c r="J25" s="76"/>
      <c r="K25" s="88"/>
      <c r="L25" s="92"/>
    </row>
    <row r="26" spans="1:13">
      <c r="A26" s="76"/>
      <c r="B26" s="96"/>
      <c r="C26" s="77" t="s">
        <v>111</v>
      </c>
      <c r="D26" s="173"/>
      <c r="E26" s="77" t="s">
        <v>106</v>
      </c>
      <c r="F26" s="176"/>
      <c r="G26" s="177">
        <f>H26/F23</f>
        <v>6.3601400700350172</v>
      </c>
      <c r="H26" s="98">
        <f>SUM(H23:H25)</f>
        <v>317848</v>
      </c>
      <c r="J26" s="76"/>
      <c r="K26" s="88"/>
      <c r="L26" s="92"/>
    </row>
    <row r="27" spans="1:13">
      <c r="A27" s="76"/>
      <c r="B27" s="96"/>
      <c r="C27" s="14"/>
      <c r="D27" s="14"/>
      <c r="E27" s="77" t="s">
        <v>107</v>
      </c>
      <c r="F27" s="176"/>
      <c r="G27" s="14"/>
      <c r="H27" s="100">
        <v>-7</v>
      </c>
      <c r="J27" s="76"/>
      <c r="K27" s="88"/>
      <c r="L27" s="92"/>
    </row>
    <row r="28" spans="1:13">
      <c r="A28" s="76"/>
      <c r="B28" s="76"/>
      <c r="D28" s="14"/>
      <c r="E28" t="s">
        <v>130</v>
      </c>
      <c r="F28" s="14"/>
      <c r="G28" s="14"/>
      <c r="H28" s="83">
        <f>SUM(H26:H27)</f>
        <v>317841</v>
      </c>
      <c r="J28" s="181">
        <f>H28/$H$1</f>
        <v>54033.61245965214</v>
      </c>
      <c r="K28" s="182">
        <f>J28-F21</f>
        <v>4033.6124596521404</v>
      </c>
      <c r="L28" s="93">
        <f>K28/F21</f>
        <v>8.0672249193042805E-2</v>
      </c>
    </row>
    <row r="29" spans="1:13">
      <c r="A29" s="73">
        <v>2</v>
      </c>
      <c r="B29" s="179" t="s">
        <v>193</v>
      </c>
      <c r="C29" s="74" t="s">
        <v>100</v>
      </c>
      <c r="D29" s="75"/>
      <c r="E29" s="75"/>
      <c r="F29" s="75"/>
      <c r="G29" s="75"/>
      <c r="H29" s="95"/>
      <c r="J29" s="76"/>
      <c r="K29" s="88"/>
      <c r="L29" s="92"/>
    </row>
    <row r="30" spans="1:13">
      <c r="A30" s="76"/>
      <c r="B30" s="96"/>
      <c r="C30" s="14"/>
      <c r="D30" s="173">
        <v>46149</v>
      </c>
      <c r="E30" t="s">
        <v>117</v>
      </c>
      <c r="F30" s="84">
        <v>40000</v>
      </c>
      <c r="G30" s="14"/>
      <c r="H30" s="98"/>
      <c r="J30" s="76"/>
      <c r="K30" s="88"/>
      <c r="L30" s="92"/>
    </row>
    <row r="31" spans="1:13">
      <c r="A31" s="76"/>
      <c r="B31" s="96"/>
      <c r="C31" s="14"/>
      <c r="D31" s="14"/>
      <c r="E31" t="s">
        <v>107</v>
      </c>
      <c r="F31" s="71">
        <v>-25</v>
      </c>
      <c r="G31" s="14"/>
      <c r="H31" s="98"/>
      <c r="J31" s="76"/>
      <c r="K31" s="88"/>
      <c r="L31" s="92"/>
    </row>
    <row r="32" spans="1:13">
      <c r="A32" s="76"/>
      <c r="B32" s="96" t="s">
        <v>113</v>
      </c>
      <c r="C32" s="174" t="s">
        <v>108</v>
      </c>
      <c r="D32" s="14"/>
      <c r="F32" s="28">
        <f>SUM(F30:F31)</f>
        <v>39975</v>
      </c>
      <c r="G32" s="178">
        <f>H32/F32</f>
        <v>5.706688430268918</v>
      </c>
      <c r="H32" s="98">
        <v>228124.87</v>
      </c>
      <c r="J32" s="76"/>
      <c r="K32" s="88"/>
      <c r="L32" s="92"/>
      <c r="M32" t="s">
        <v>112</v>
      </c>
    </row>
    <row r="33" spans="1:13">
      <c r="A33" s="76"/>
      <c r="B33" s="96"/>
      <c r="C33" s="77" t="s">
        <v>109</v>
      </c>
      <c r="D33" s="14"/>
      <c r="E33" s="27"/>
      <c r="F33" s="27"/>
      <c r="G33" s="14"/>
      <c r="H33" s="98">
        <v>-859.74</v>
      </c>
      <c r="J33" s="76"/>
      <c r="K33" s="88"/>
      <c r="L33" s="92"/>
    </row>
    <row r="34" spans="1:13">
      <c r="A34" s="76"/>
      <c r="B34" s="96"/>
      <c r="C34" s="77" t="s">
        <v>110</v>
      </c>
      <c r="D34" s="14"/>
      <c r="E34" s="27"/>
      <c r="F34" s="27"/>
      <c r="G34" s="72"/>
      <c r="H34" s="99"/>
      <c r="J34" s="76"/>
      <c r="K34" s="88"/>
      <c r="L34" s="92"/>
    </row>
    <row r="35" spans="1:13">
      <c r="A35" s="76"/>
      <c r="B35" s="96"/>
      <c r="C35" s="77" t="s">
        <v>111</v>
      </c>
      <c r="D35" s="173">
        <v>46150</v>
      </c>
      <c r="E35" s="77" t="s">
        <v>106</v>
      </c>
      <c r="F35" s="176"/>
      <c r="G35" s="177">
        <f>H35/F32</f>
        <v>5.6851814884302687</v>
      </c>
      <c r="H35" s="98">
        <f>SUM(H32:H34)</f>
        <v>227265.13</v>
      </c>
      <c r="J35" s="76"/>
      <c r="K35" s="88"/>
      <c r="L35" s="92"/>
    </row>
    <row r="36" spans="1:13">
      <c r="A36" s="76"/>
      <c r="B36" s="96"/>
      <c r="C36" s="14"/>
      <c r="D36" s="14"/>
      <c r="E36" s="77" t="s">
        <v>107</v>
      </c>
      <c r="F36" s="176"/>
      <c r="G36" s="14"/>
      <c r="H36" s="100">
        <v>-7.13</v>
      </c>
      <c r="J36" s="76"/>
      <c r="K36" s="88"/>
      <c r="L36" s="92"/>
    </row>
    <row r="37" spans="1:13">
      <c r="A37" s="76"/>
      <c r="B37" s="78"/>
      <c r="C37" s="19"/>
      <c r="D37" s="72"/>
      <c r="E37" s="19"/>
      <c r="F37" s="72"/>
      <c r="G37" s="183"/>
      <c r="H37" s="83">
        <f>SUM(H35:H36)</f>
        <v>227258</v>
      </c>
      <c r="J37" s="181">
        <f>H37/$H$1</f>
        <v>38634.319362057213</v>
      </c>
      <c r="K37" s="182">
        <f>J37-F30</f>
        <v>-1365.6806379427871</v>
      </c>
      <c r="L37" s="93">
        <f>K37/F30</f>
        <v>-3.4142015948569679E-2</v>
      </c>
    </row>
    <row r="38" spans="1:13">
      <c r="A38" s="73">
        <v>2</v>
      </c>
      <c r="B38" s="179" t="s">
        <v>216</v>
      </c>
      <c r="C38" s="74" t="s">
        <v>100</v>
      </c>
      <c r="D38" s="75"/>
      <c r="E38" s="75"/>
      <c r="F38" s="75"/>
      <c r="G38" s="75"/>
      <c r="H38" s="95"/>
      <c r="J38" s="76"/>
      <c r="K38" s="88"/>
      <c r="L38" s="92"/>
    </row>
    <row r="39" spans="1:13">
      <c r="A39" s="76"/>
      <c r="B39" s="96"/>
      <c r="C39" s="14"/>
      <c r="D39" s="173">
        <v>46230</v>
      </c>
      <c r="E39" t="s">
        <v>117</v>
      </c>
      <c r="F39" s="84">
        <v>50000</v>
      </c>
      <c r="G39" s="14"/>
      <c r="H39" s="98"/>
      <c r="J39" s="76"/>
      <c r="K39" s="88"/>
      <c r="L39" s="92"/>
    </row>
    <row r="40" spans="1:13">
      <c r="A40" s="76"/>
      <c r="B40" s="96"/>
      <c r="C40" s="14"/>
      <c r="D40" s="14"/>
      <c r="E40" t="s">
        <v>107</v>
      </c>
      <c r="F40" s="71">
        <v>-25</v>
      </c>
      <c r="G40" s="14"/>
      <c r="H40" s="98"/>
      <c r="J40" s="76"/>
      <c r="K40" s="88"/>
      <c r="L40" s="92"/>
    </row>
    <row r="41" spans="1:13">
      <c r="A41" s="76"/>
      <c r="B41" s="96" t="s">
        <v>113</v>
      </c>
      <c r="C41" s="174" t="s">
        <v>108</v>
      </c>
      <c r="D41" s="14"/>
      <c r="F41" s="28">
        <f>SUM(F39:F40)</f>
        <v>49975</v>
      </c>
      <c r="G41" s="178">
        <v>5.75</v>
      </c>
      <c r="H41" s="98">
        <f>F41*G41-0.25</f>
        <v>287356</v>
      </c>
      <c r="J41" s="76"/>
      <c r="K41" s="88"/>
      <c r="L41" s="92"/>
      <c r="M41" t="s">
        <v>112</v>
      </c>
    </row>
    <row r="42" spans="1:13">
      <c r="A42" s="76"/>
      <c r="B42" s="96"/>
      <c r="C42" s="77" t="s">
        <v>109</v>
      </c>
      <c r="D42" s="14"/>
      <c r="E42" s="27"/>
      <c r="F42" s="27"/>
      <c r="G42" s="14"/>
      <c r="H42" s="98">
        <v>0</v>
      </c>
      <c r="J42" s="76"/>
      <c r="K42" s="88"/>
      <c r="L42" s="92"/>
    </row>
    <row r="43" spans="1:13">
      <c r="A43" s="76"/>
      <c r="B43" s="96"/>
      <c r="C43" s="77" t="s">
        <v>110</v>
      </c>
      <c r="D43" s="14"/>
      <c r="E43" s="27"/>
      <c r="F43" s="27"/>
      <c r="G43" s="72"/>
      <c r="H43" s="99"/>
      <c r="J43" s="76"/>
      <c r="K43" s="88"/>
      <c r="L43" s="92"/>
    </row>
    <row r="44" spans="1:13">
      <c r="A44" s="76"/>
      <c r="B44" s="96"/>
      <c r="C44" s="77" t="s">
        <v>111</v>
      </c>
      <c r="D44" s="173">
        <v>46231</v>
      </c>
      <c r="E44" s="77" t="s">
        <v>106</v>
      </c>
      <c r="F44" s="176"/>
      <c r="G44" s="177">
        <f>H44/F41</f>
        <v>5.7499949974987494</v>
      </c>
      <c r="H44" s="98">
        <f>SUM(H41:H43)</f>
        <v>287356</v>
      </c>
      <c r="J44" s="76"/>
      <c r="K44" s="88"/>
      <c r="L44" s="92"/>
    </row>
    <row r="45" spans="1:13">
      <c r="A45" s="76"/>
      <c r="B45" s="96"/>
      <c r="C45" s="14"/>
      <c r="D45" s="14"/>
      <c r="E45" s="77" t="s">
        <v>107</v>
      </c>
      <c r="F45" s="176"/>
      <c r="G45" s="14"/>
      <c r="H45" s="100">
        <v>0</v>
      </c>
      <c r="J45" s="76"/>
      <c r="K45" s="88"/>
      <c r="L45" s="92"/>
    </row>
    <row r="46" spans="1:13">
      <c r="A46" s="76"/>
      <c r="B46" s="78"/>
      <c r="C46" s="19"/>
      <c r="D46" s="72"/>
      <c r="E46" s="19"/>
      <c r="F46" s="72"/>
      <c r="G46" s="183"/>
      <c r="H46" s="83">
        <f>SUM(H44:H45)</f>
        <v>287356</v>
      </c>
      <c r="J46" s="181">
        <f>H46/$H$1</f>
        <v>48851.10083958898</v>
      </c>
      <c r="K46" s="182">
        <f>J46-F39</f>
        <v>-1148.8991604110197</v>
      </c>
      <c r="L46" s="93">
        <f>K46/F39</f>
        <v>-2.2977983208220393E-2</v>
      </c>
    </row>
    <row r="48" spans="1:13">
      <c r="F48" s="84">
        <f>F3+F12+F21+F30+F39</f>
        <v>240000</v>
      </c>
      <c r="G48" s="4">
        <f>H48/F48</f>
        <v>6.0164208204166663</v>
      </c>
      <c r="H48" s="83">
        <f>H10+H19+H28+H37+H46</f>
        <v>1443940.9968999999</v>
      </c>
      <c r="J48" s="84">
        <f>SUM(J1:J37)</f>
        <v>196621.78730605106</v>
      </c>
      <c r="K48" s="84">
        <f>SUM(K1:K37)</f>
        <v>6621.7873060510537</v>
      </c>
      <c r="L48" s="20">
        <f>K48/F48</f>
        <v>2.7590780441879389E-2</v>
      </c>
    </row>
    <row r="49" spans="3:8">
      <c r="F49" s="85" t="s">
        <v>132</v>
      </c>
      <c r="G49" s="85" t="s">
        <v>217</v>
      </c>
      <c r="H49" s="85" t="s">
        <v>131</v>
      </c>
    </row>
    <row r="51" spans="3:8">
      <c r="C51" s="77" t="s">
        <v>116</v>
      </c>
    </row>
    <row r="52" spans="3:8">
      <c r="C52" s="77" t="s">
        <v>114</v>
      </c>
    </row>
    <row r="53" spans="3:8">
      <c r="C53" s="77" t="s">
        <v>115</v>
      </c>
    </row>
  </sheetData>
  <conditionalFormatting sqref="L2:L46 L48">
    <cfRule type="cellIs" dxfId="0" priority="1" operator="lessThan">
      <formula>0</formula>
    </cfRule>
  </conditionalFormatting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5"/>
  <sheetViews>
    <sheetView workbookViewId="0">
      <selection activeCell="I16" sqref="I16"/>
    </sheetView>
  </sheetViews>
  <sheetFormatPr defaultColWidth="9.140625" defaultRowHeight="15"/>
  <cols>
    <col min="1" max="1" width="3.7109375" customWidth="1"/>
    <col min="2" max="2" width="7.5703125" customWidth="1"/>
    <col min="3" max="3" width="23.28515625" customWidth="1"/>
    <col min="4" max="4" width="39" bestFit="1" customWidth="1"/>
    <col min="5" max="5" width="23.85546875" bestFit="1" customWidth="1"/>
    <col min="6" max="6" width="16.7109375" customWidth="1"/>
    <col min="7" max="7" width="28.140625" customWidth="1"/>
    <col min="8" max="8" width="13.140625" customWidth="1"/>
    <col min="9" max="9" width="12.5703125" customWidth="1"/>
    <col min="10" max="10" width="11.28515625" customWidth="1"/>
    <col min="11" max="11" width="9.7109375" customWidth="1"/>
    <col min="12" max="12" width="13.42578125" customWidth="1"/>
    <col min="13" max="13" width="13.7109375" customWidth="1"/>
    <col min="14" max="14" width="14.28515625" customWidth="1"/>
    <col min="15" max="15" width="21.5703125" bestFit="1" customWidth="1"/>
    <col min="17" max="17" width="10.42578125" bestFit="1" customWidth="1"/>
    <col min="19" max="19" width="13.7109375" bestFit="1" customWidth="1"/>
    <col min="20" max="20" width="11.85546875" customWidth="1"/>
  </cols>
  <sheetData>
    <row r="1" spans="2:14" s="25" customFormat="1" ht="12.75">
      <c r="B1" s="24"/>
      <c r="C1" s="30"/>
      <c r="D1" s="30"/>
      <c r="E1" s="29"/>
      <c r="F1" s="26"/>
      <c r="G1" s="24"/>
      <c r="H1" s="24"/>
      <c r="I1" s="24"/>
      <c r="J1" s="24"/>
      <c r="K1" s="24"/>
      <c r="M1" s="29"/>
      <c r="N1" s="29"/>
    </row>
    <row r="2" spans="2:14" s="50" customFormat="1" ht="25.5">
      <c r="B2" s="51" t="s">
        <v>23</v>
      </c>
      <c r="C2" s="52" t="s">
        <v>65</v>
      </c>
      <c r="D2" s="52" t="s">
        <v>24</v>
      </c>
      <c r="E2" s="52" t="s">
        <v>13</v>
      </c>
      <c r="F2" s="52" t="s">
        <v>53</v>
      </c>
      <c r="G2" s="53" t="s">
        <v>32</v>
      </c>
      <c r="H2" s="52" t="s">
        <v>25</v>
      </c>
      <c r="I2" s="52" t="s">
        <v>26</v>
      </c>
      <c r="J2" s="54" t="s">
        <v>59</v>
      </c>
      <c r="K2" s="54" t="s">
        <v>35</v>
      </c>
      <c r="L2" s="54" t="s">
        <v>27</v>
      </c>
      <c r="M2" s="52" t="s">
        <v>90</v>
      </c>
      <c r="N2" s="62" t="s">
        <v>10</v>
      </c>
    </row>
    <row r="3" spans="2:14" s="25" customFormat="1">
      <c r="B3" s="155">
        <v>1</v>
      </c>
      <c r="C3" s="156" t="s">
        <v>57</v>
      </c>
      <c r="D3" s="156" t="s">
        <v>62</v>
      </c>
      <c r="E3" s="156" t="s">
        <v>51</v>
      </c>
      <c r="F3" s="157" t="s">
        <v>12</v>
      </c>
      <c r="G3" s="157" t="s">
        <v>55</v>
      </c>
      <c r="H3" s="158">
        <v>45747</v>
      </c>
      <c r="I3" s="158">
        <v>45902</v>
      </c>
      <c r="J3" s="159">
        <v>-105.91</v>
      </c>
      <c r="K3" s="160">
        <v>0.17</v>
      </c>
      <c r="L3" s="159">
        <f>J3*K3</f>
        <v>-18.0047</v>
      </c>
      <c r="M3" s="159">
        <f>J3+L3</f>
        <v>-123.9147</v>
      </c>
      <c r="N3" s="161">
        <f>M3</f>
        <v>-123.9147</v>
      </c>
    </row>
    <row r="4" spans="2:14" s="25" customFormat="1">
      <c r="B4" s="31">
        <f t="shared" ref="B4:B13" si="0">B3+1</f>
        <v>2</v>
      </c>
      <c r="C4" s="25" t="s">
        <v>57</v>
      </c>
      <c r="D4" s="25" t="s">
        <v>54</v>
      </c>
      <c r="E4" s="25" t="s">
        <v>51</v>
      </c>
      <c r="F4" s="47" t="s">
        <v>12</v>
      </c>
      <c r="G4" s="47" t="s">
        <v>55</v>
      </c>
      <c r="H4" s="32">
        <v>45747</v>
      </c>
      <c r="I4" s="32">
        <v>45902</v>
      </c>
      <c r="J4" s="8">
        <v>-12</v>
      </c>
      <c r="K4" s="21">
        <v>0</v>
      </c>
      <c r="L4" s="8">
        <f t="shared" ref="L4:L12" si="1">J4*K4</f>
        <v>0</v>
      </c>
      <c r="M4" s="8">
        <f t="shared" ref="M4:M12" si="2">J4+L4</f>
        <v>-12</v>
      </c>
      <c r="N4" s="162">
        <f>N3+M4</f>
        <v>-135.91469999999998</v>
      </c>
    </row>
    <row r="5" spans="2:14" s="25" customFormat="1">
      <c r="B5" s="31">
        <f t="shared" si="0"/>
        <v>3</v>
      </c>
      <c r="C5" s="25" t="s">
        <v>57</v>
      </c>
      <c r="D5" s="25" t="s">
        <v>61</v>
      </c>
      <c r="E5" s="25" t="s">
        <v>51</v>
      </c>
      <c r="F5" s="47" t="s">
        <v>12</v>
      </c>
      <c r="G5" s="47" t="s">
        <v>55</v>
      </c>
      <c r="H5" s="32">
        <v>45754</v>
      </c>
      <c r="I5" s="32">
        <v>45902</v>
      </c>
      <c r="J5" s="8">
        <v>-21.43</v>
      </c>
      <c r="K5" s="21">
        <v>0.17</v>
      </c>
      <c r="L5" s="8">
        <f t="shared" si="1"/>
        <v>-3.6431</v>
      </c>
      <c r="M5" s="8">
        <f t="shared" si="2"/>
        <v>-25.0731</v>
      </c>
      <c r="N5" s="162">
        <f t="shared" ref="N5:N13" si="3">N4+M5</f>
        <v>-160.98779999999999</v>
      </c>
    </row>
    <row r="6" spans="2:14" s="25" customFormat="1">
      <c r="B6" s="31">
        <f t="shared" si="0"/>
        <v>4</v>
      </c>
      <c r="C6" s="25" t="s">
        <v>57</v>
      </c>
      <c r="D6" s="25" t="s">
        <v>64</v>
      </c>
      <c r="E6" s="25" t="s">
        <v>51</v>
      </c>
      <c r="F6" s="47" t="s">
        <v>12</v>
      </c>
      <c r="G6" s="47" t="s">
        <v>55</v>
      </c>
      <c r="H6" s="32">
        <v>45754</v>
      </c>
      <c r="I6" s="32">
        <v>45902</v>
      </c>
      <c r="J6" s="8">
        <v>-15</v>
      </c>
      <c r="K6" s="21">
        <v>0.17</v>
      </c>
      <c r="L6" s="8">
        <f t="shared" si="1"/>
        <v>-2.5500000000000003</v>
      </c>
      <c r="M6" s="8">
        <f t="shared" si="2"/>
        <v>-17.55</v>
      </c>
      <c r="N6" s="162">
        <f t="shared" si="3"/>
        <v>-178.5378</v>
      </c>
    </row>
    <row r="7" spans="2:14" s="25" customFormat="1">
      <c r="B7" s="31">
        <f t="shared" si="0"/>
        <v>5</v>
      </c>
      <c r="C7" s="25" t="s">
        <v>57</v>
      </c>
      <c r="D7" s="25" t="s">
        <v>63</v>
      </c>
      <c r="E7" s="25" t="s">
        <v>51</v>
      </c>
      <c r="F7" s="47" t="s">
        <v>12</v>
      </c>
      <c r="G7" s="47" t="s">
        <v>69</v>
      </c>
      <c r="H7" s="32">
        <v>45754</v>
      </c>
      <c r="I7" s="32">
        <v>45902</v>
      </c>
      <c r="J7" s="8">
        <v>-60</v>
      </c>
      <c r="K7" s="21">
        <v>0</v>
      </c>
      <c r="L7" s="8">
        <f t="shared" si="1"/>
        <v>0</v>
      </c>
      <c r="M7" s="8">
        <f t="shared" si="2"/>
        <v>-60</v>
      </c>
      <c r="N7" s="162">
        <f t="shared" si="3"/>
        <v>-238.5378</v>
      </c>
    </row>
    <row r="8" spans="2:14" s="25" customFormat="1">
      <c r="B8" s="31">
        <f t="shared" si="0"/>
        <v>6</v>
      </c>
      <c r="C8" s="25" t="s">
        <v>57</v>
      </c>
      <c r="D8" s="25" t="s">
        <v>63</v>
      </c>
      <c r="E8" s="25" t="s">
        <v>51</v>
      </c>
      <c r="F8" s="47" t="s">
        <v>12</v>
      </c>
      <c r="G8" s="47" t="s">
        <v>69</v>
      </c>
      <c r="H8" s="32">
        <v>45755</v>
      </c>
      <c r="I8" s="32">
        <v>45902</v>
      </c>
      <c r="J8" s="8">
        <v>-40</v>
      </c>
      <c r="K8" s="21">
        <v>0</v>
      </c>
      <c r="L8" s="8">
        <f t="shared" si="1"/>
        <v>0</v>
      </c>
      <c r="M8" s="8">
        <f t="shared" si="2"/>
        <v>-40</v>
      </c>
      <c r="N8" s="162">
        <f t="shared" si="3"/>
        <v>-278.5378</v>
      </c>
    </row>
    <row r="9" spans="2:14" s="25" customFormat="1">
      <c r="B9" s="31">
        <f t="shared" si="0"/>
        <v>7</v>
      </c>
      <c r="C9" s="25" t="s">
        <v>57</v>
      </c>
      <c r="D9" s="25" t="s">
        <v>66</v>
      </c>
      <c r="E9" s="25" t="s">
        <v>51</v>
      </c>
      <c r="F9" s="47" t="s">
        <v>12</v>
      </c>
      <c r="G9" s="47" t="s">
        <v>33</v>
      </c>
      <c r="H9" s="32">
        <v>45779</v>
      </c>
      <c r="I9" s="32">
        <v>45902</v>
      </c>
      <c r="J9" s="8">
        <v>-25.64</v>
      </c>
      <c r="K9" s="21">
        <v>0.17</v>
      </c>
      <c r="L9" s="8">
        <f t="shared" si="1"/>
        <v>-4.3588000000000005</v>
      </c>
      <c r="M9" s="8">
        <f t="shared" si="2"/>
        <v>-29.998800000000003</v>
      </c>
      <c r="N9" s="162">
        <f t="shared" si="3"/>
        <v>-308.53660000000002</v>
      </c>
    </row>
    <row r="10" spans="2:14" s="25" customFormat="1">
      <c r="B10" s="31">
        <f t="shared" si="0"/>
        <v>8</v>
      </c>
      <c r="C10" s="25" t="s">
        <v>57</v>
      </c>
      <c r="D10" s="25" t="s">
        <v>66</v>
      </c>
      <c r="E10" s="25" t="s">
        <v>51</v>
      </c>
      <c r="F10" s="47" t="s">
        <v>12</v>
      </c>
      <c r="G10" s="47" t="s">
        <v>33</v>
      </c>
      <c r="H10" s="32">
        <v>45796</v>
      </c>
      <c r="I10" s="32">
        <v>45902</v>
      </c>
      <c r="J10" s="8">
        <v>-96.92</v>
      </c>
      <c r="K10" s="21">
        <v>0.17</v>
      </c>
      <c r="L10" s="8">
        <f t="shared" si="1"/>
        <v>-16.476400000000002</v>
      </c>
      <c r="M10" s="8">
        <f t="shared" si="2"/>
        <v>-113.3964</v>
      </c>
      <c r="N10" s="162">
        <f t="shared" si="3"/>
        <v>-421.93299999999999</v>
      </c>
    </row>
    <row r="11" spans="2:14" s="25" customFormat="1">
      <c r="B11" s="31">
        <f t="shared" si="0"/>
        <v>9</v>
      </c>
      <c r="C11" s="25" t="s">
        <v>57</v>
      </c>
      <c r="D11" s="25" t="s">
        <v>66</v>
      </c>
      <c r="E11" s="25" t="s">
        <v>51</v>
      </c>
      <c r="F11" s="47" t="s">
        <v>12</v>
      </c>
      <c r="G11" s="47" t="s">
        <v>33</v>
      </c>
      <c r="H11" s="32">
        <v>45796</v>
      </c>
      <c r="I11" s="32">
        <v>45902</v>
      </c>
      <c r="J11" s="8">
        <v>-60</v>
      </c>
      <c r="K11" s="21">
        <v>0</v>
      </c>
      <c r="L11" s="8">
        <f t="shared" si="1"/>
        <v>0</v>
      </c>
      <c r="M11" s="8">
        <f t="shared" si="2"/>
        <v>-60</v>
      </c>
      <c r="N11" s="162">
        <f t="shared" si="3"/>
        <v>-481.93299999999999</v>
      </c>
    </row>
    <row r="12" spans="2:14" s="25" customFormat="1">
      <c r="B12" s="31">
        <f t="shared" si="0"/>
        <v>10</v>
      </c>
      <c r="C12" s="25" t="s">
        <v>57</v>
      </c>
      <c r="D12" s="25" t="s">
        <v>64</v>
      </c>
      <c r="E12" s="25" t="s">
        <v>51</v>
      </c>
      <c r="F12" s="47" t="s">
        <v>12</v>
      </c>
      <c r="G12" s="47" t="s">
        <v>55</v>
      </c>
      <c r="H12" s="32">
        <v>45854</v>
      </c>
      <c r="I12" s="32">
        <v>45902</v>
      </c>
      <c r="J12" s="8">
        <v>-15</v>
      </c>
      <c r="K12" s="21">
        <v>0.17</v>
      </c>
      <c r="L12" s="8">
        <f t="shared" si="1"/>
        <v>-2.5500000000000003</v>
      </c>
      <c r="M12" s="8">
        <f t="shared" si="2"/>
        <v>-17.55</v>
      </c>
      <c r="N12" s="162">
        <f t="shared" si="3"/>
        <v>-499.483</v>
      </c>
    </row>
    <row r="13" spans="2:14" s="25" customFormat="1">
      <c r="B13" s="148">
        <f t="shared" si="0"/>
        <v>11</v>
      </c>
      <c r="C13" s="150" t="s">
        <v>57</v>
      </c>
      <c r="D13" s="150" t="s">
        <v>89</v>
      </c>
      <c r="E13" s="150" t="s">
        <v>51</v>
      </c>
      <c r="F13" s="152"/>
      <c r="G13" s="152" t="s">
        <v>12</v>
      </c>
      <c r="H13" s="149">
        <v>45902</v>
      </c>
      <c r="I13" s="149">
        <v>45902</v>
      </c>
      <c r="J13" s="163">
        <f>-SUM(J3:J12)</f>
        <v>451.90000000000003</v>
      </c>
      <c r="K13" s="164">
        <v>0.17</v>
      </c>
      <c r="L13" s="163">
        <f t="shared" ref="L13:M13" si="4">-SUM(L3:L12)</f>
        <v>47.582999999999998</v>
      </c>
      <c r="M13" s="163">
        <f t="shared" si="4"/>
        <v>499.483</v>
      </c>
      <c r="N13" s="165">
        <f t="shared" si="3"/>
        <v>0</v>
      </c>
    </row>
    <row r="14" spans="2:14" s="25" customFormat="1">
      <c r="B14" s="155">
        <f>B13+1</f>
        <v>12</v>
      </c>
      <c r="C14" s="156" t="s">
        <v>57</v>
      </c>
      <c r="D14" s="156" t="s">
        <v>64</v>
      </c>
      <c r="E14" s="156" t="s">
        <v>51</v>
      </c>
      <c r="F14" s="157" t="s">
        <v>12</v>
      </c>
      <c r="G14" s="157" t="s">
        <v>55</v>
      </c>
      <c r="H14" s="158">
        <v>46014</v>
      </c>
      <c r="I14" s="158">
        <v>46139</v>
      </c>
      <c r="J14" s="159">
        <v>-15</v>
      </c>
      <c r="K14" s="160">
        <v>0.17</v>
      </c>
      <c r="L14" s="159">
        <f t="shared" ref="L14:L15" si="5">J14*K14</f>
        <v>-2.5500000000000003</v>
      </c>
      <c r="M14" s="159">
        <f t="shared" ref="M14:M15" si="6">J14+L14</f>
        <v>-17.55</v>
      </c>
      <c r="N14" s="161">
        <f>N13+M14</f>
        <v>-17.55</v>
      </c>
    </row>
    <row r="15" spans="2:14" s="25" customFormat="1">
      <c r="B15" s="148">
        <f>B14+1</f>
        <v>13</v>
      </c>
      <c r="C15" s="150" t="s">
        <v>57</v>
      </c>
      <c r="D15" s="150" t="s">
        <v>89</v>
      </c>
      <c r="E15" s="150" t="s">
        <v>51</v>
      </c>
      <c r="F15" s="152"/>
      <c r="G15" s="152" t="s">
        <v>12</v>
      </c>
      <c r="H15" s="149">
        <v>46139</v>
      </c>
      <c r="I15" s="149">
        <v>46139</v>
      </c>
      <c r="J15" s="163">
        <v>15</v>
      </c>
      <c r="K15" s="164">
        <v>0.17</v>
      </c>
      <c r="L15" s="163">
        <f t="shared" si="5"/>
        <v>2.5500000000000003</v>
      </c>
      <c r="M15" s="163">
        <f t="shared" si="6"/>
        <v>17.55</v>
      </c>
      <c r="N15" s="165">
        <f>N14+M15</f>
        <v>0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5B8A-3777-40A5-BC3B-3C690BE790A1}">
  <dimension ref="B1:O45"/>
  <sheetViews>
    <sheetView topLeftCell="A13" workbookViewId="0">
      <selection activeCell="I47" sqref="I47"/>
    </sheetView>
  </sheetViews>
  <sheetFormatPr defaultColWidth="9.140625" defaultRowHeight="15"/>
  <cols>
    <col min="1" max="1" width="2.85546875" customWidth="1"/>
    <col min="2" max="2" width="5.5703125" customWidth="1"/>
    <col min="3" max="3" width="30.28515625" customWidth="1"/>
    <col min="4" max="4" width="16" style="111" customWidth="1"/>
    <col min="5" max="5" width="12.42578125" style="9" customWidth="1"/>
    <col min="6" max="6" width="15.85546875" style="111" customWidth="1"/>
    <col min="7" max="7" width="17.85546875" customWidth="1"/>
    <col min="8" max="8" width="3.140625" customWidth="1"/>
    <col min="9" max="9" width="24" customWidth="1"/>
    <col min="10" max="10" width="11.7109375" style="9" customWidth="1"/>
    <col min="11" max="11" width="15.85546875" style="9" customWidth="1"/>
    <col min="12" max="12" width="14.140625" style="9" customWidth="1"/>
    <col min="13" max="13" width="12.85546875" style="9" customWidth="1"/>
    <col min="14" max="14" width="12.5703125" customWidth="1"/>
    <col min="15" max="15" width="2.28515625" customWidth="1"/>
  </cols>
  <sheetData>
    <row r="1" spans="2:15" ht="18.75">
      <c r="B1" s="191" t="s">
        <v>153</v>
      </c>
      <c r="C1" s="192"/>
      <c r="D1" s="192"/>
      <c r="E1" s="192"/>
      <c r="F1" s="192"/>
      <c r="G1" s="193"/>
      <c r="H1" s="191" t="s">
        <v>155</v>
      </c>
      <c r="I1" s="192"/>
      <c r="J1" s="192"/>
      <c r="K1" s="192"/>
      <c r="L1" s="192"/>
      <c r="M1" s="192"/>
      <c r="N1" s="192"/>
      <c r="O1" s="193"/>
    </row>
    <row r="2" spans="2:15" ht="18.75">
      <c r="B2" s="76"/>
      <c r="C2" s="106"/>
      <c r="D2" s="107"/>
      <c r="E2" s="108"/>
      <c r="F2" s="107" t="s">
        <v>154</v>
      </c>
      <c r="G2" s="109"/>
      <c r="O2" s="109"/>
    </row>
    <row r="3" spans="2:15" ht="15.75">
      <c r="B3" s="110"/>
      <c r="G3" s="109"/>
      <c r="H3" s="76"/>
      <c r="O3" s="109"/>
    </row>
    <row r="4" spans="2:15" s="114" customFormat="1" ht="18.75">
      <c r="B4" s="112"/>
      <c r="C4" s="106" t="s">
        <v>156</v>
      </c>
      <c r="D4" s="113"/>
      <c r="F4" s="113" t="s">
        <v>157</v>
      </c>
      <c r="G4" s="115" t="s">
        <v>158</v>
      </c>
      <c r="H4" s="112"/>
      <c r="I4" s="106" t="s">
        <v>159</v>
      </c>
      <c r="J4" s="171"/>
      <c r="K4" s="171"/>
      <c r="L4" s="171"/>
      <c r="M4" s="171"/>
      <c r="N4" s="116">
        <v>0.02</v>
      </c>
      <c r="O4" s="117"/>
    </row>
    <row r="5" spans="2:15" s="114" customFormat="1" ht="18.75">
      <c r="B5" s="112"/>
      <c r="C5" s="106"/>
      <c r="D5" s="113"/>
      <c r="F5" s="118" t="s">
        <v>160</v>
      </c>
      <c r="G5" s="119" t="s">
        <v>86</v>
      </c>
      <c r="H5" s="112"/>
      <c r="J5" s="171"/>
      <c r="K5" s="171"/>
      <c r="L5" s="171"/>
      <c r="M5" s="171"/>
      <c r="O5" s="117"/>
    </row>
    <row r="6" spans="2:15">
      <c r="B6" s="120"/>
      <c r="C6" s="19"/>
      <c r="D6" s="121"/>
      <c r="E6" s="122"/>
      <c r="F6" s="121"/>
      <c r="G6" s="79"/>
      <c r="H6" s="76"/>
      <c r="O6" s="109"/>
    </row>
    <row r="7" spans="2:15" s="127" customFormat="1" ht="30">
      <c r="B7" s="123" t="s">
        <v>23</v>
      </c>
      <c r="C7" s="123" t="s">
        <v>161</v>
      </c>
      <c r="D7" s="124" t="s">
        <v>162</v>
      </c>
      <c r="E7" s="125" t="s">
        <v>163</v>
      </c>
      <c r="F7" s="124" t="s">
        <v>164</v>
      </c>
      <c r="G7" s="123" t="s">
        <v>165</v>
      </c>
      <c r="H7" s="126"/>
      <c r="O7" s="128"/>
    </row>
    <row r="8" spans="2:15">
      <c r="B8" s="129"/>
      <c r="C8" s="85"/>
      <c r="E8" s="130"/>
      <c r="G8" s="109"/>
      <c r="H8" s="76"/>
      <c r="O8" s="109"/>
    </row>
    <row r="9" spans="2:15" ht="15.75">
      <c r="B9" s="129"/>
      <c r="C9" s="131" t="s">
        <v>166</v>
      </c>
      <c r="E9" s="132"/>
      <c r="G9" s="109"/>
      <c r="H9" s="76"/>
      <c r="O9" s="109"/>
    </row>
    <row r="10" spans="2:15" ht="15.75">
      <c r="B10" s="129"/>
      <c r="C10" s="131"/>
      <c r="E10" s="132"/>
      <c r="G10" s="109"/>
      <c r="H10" s="76"/>
      <c r="O10" s="109"/>
    </row>
    <row r="11" spans="2:15" ht="15.75">
      <c r="B11" s="133">
        <v>1</v>
      </c>
      <c r="C11" s="134" t="s">
        <v>167</v>
      </c>
      <c r="D11" s="135">
        <v>1000</v>
      </c>
      <c r="E11" s="136">
        <v>45898</v>
      </c>
      <c r="F11" s="135">
        <v>1000</v>
      </c>
      <c r="G11" s="137">
        <f>D11/$D$44</f>
        <v>3.8314176245210726E-3</v>
      </c>
      <c r="H11" s="76"/>
      <c r="O11" s="109"/>
    </row>
    <row r="12" spans="2:15" ht="5.25" customHeight="1">
      <c r="B12" s="138"/>
      <c r="C12" s="139"/>
      <c r="D12" s="140"/>
      <c r="E12" s="141"/>
      <c r="F12" s="140"/>
      <c r="G12" s="142"/>
      <c r="H12" s="76"/>
      <c r="O12" s="109"/>
    </row>
    <row r="13" spans="2:15" ht="15.75">
      <c r="B13" s="133"/>
      <c r="C13" s="143" t="s">
        <v>168</v>
      </c>
      <c r="D13" s="135">
        <f>SUM(D11)</f>
        <v>1000</v>
      </c>
      <c r="F13" s="135">
        <f>SUM(F11)</f>
        <v>1000</v>
      </c>
      <c r="G13" s="137">
        <f>SUM(G11)</f>
        <v>3.8314176245210726E-3</v>
      </c>
      <c r="H13" s="76"/>
      <c r="O13" s="109"/>
    </row>
    <row r="14" spans="2:15" ht="6.75" customHeight="1">
      <c r="B14" s="133"/>
      <c r="C14" s="134"/>
      <c r="D14" s="135"/>
      <c r="E14" s="108"/>
      <c r="F14" s="135"/>
      <c r="G14" s="137"/>
      <c r="H14" s="76"/>
      <c r="O14" s="109"/>
    </row>
    <row r="15" spans="2:15" ht="15.75">
      <c r="B15" s="129"/>
      <c r="C15" s="131" t="s">
        <v>169</v>
      </c>
      <c r="E15" s="132"/>
      <c r="G15" s="109"/>
      <c r="H15" s="76"/>
      <c r="I15" s="123" t="s">
        <v>183</v>
      </c>
      <c r="J15" s="123" t="s">
        <v>185</v>
      </c>
      <c r="K15" s="123" t="s">
        <v>163</v>
      </c>
      <c r="L15" s="123" t="s">
        <v>213</v>
      </c>
      <c r="M15" s="123" t="s">
        <v>35</v>
      </c>
      <c r="N15" s="123" t="s">
        <v>184</v>
      </c>
      <c r="O15" s="109"/>
    </row>
    <row r="16" spans="2:15" ht="15.75">
      <c r="B16" s="129"/>
      <c r="C16" s="131"/>
      <c r="E16" s="132"/>
      <c r="G16" s="109"/>
      <c r="H16" s="76"/>
      <c r="M16" s="184">
        <v>0.17</v>
      </c>
      <c r="O16" s="109"/>
    </row>
    <row r="17" spans="2:15" ht="15.75">
      <c r="B17" s="129"/>
      <c r="C17" s="131"/>
      <c r="E17" s="132"/>
      <c r="G17" s="109"/>
      <c r="H17" s="76"/>
      <c r="L17"/>
      <c r="M17"/>
      <c r="O17" s="109"/>
    </row>
    <row r="18" spans="2:15" ht="15.75">
      <c r="B18" s="133">
        <v>2</v>
      </c>
      <c r="C18" s="134" t="s">
        <v>170</v>
      </c>
      <c r="D18" s="135">
        <v>40000</v>
      </c>
      <c r="E18" s="136">
        <v>45901</v>
      </c>
      <c r="F18" s="135">
        <v>10000</v>
      </c>
      <c r="G18" s="137"/>
      <c r="H18" s="76"/>
      <c r="I18" s="85" t="str">
        <f>C18</f>
        <v>Edoardo TUBIA</v>
      </c>
      <c r="J18" s="9" t="s">
        <v>211</v>
      </c>
      <c r="K18" s="6">
        <v>46048</v>
      </c>
      <c r="L18" s="135">
        <v>170.94</v>
      </c>
      <c r="M18" s="135">
        <f>L18*$M$16</f>
        <v>29.059800000000003</v>
      </c>
      <c r="N18" s="135">
        <f>F18*$N$4</f>
        <v>200</v>
      </c>
      <c r="O18" s="109"/>
    </row>
    <row r="19" spans="2:15" ht="15.75">
      <c r="B19" s="133"/>
      <c r="C19" s="134"/>
      <c r="D19" s="135"/>
      <c r="E19" s="136">
        <v>45909</v>
      </c>
      <c r="F19" s="135">
        <v>10000</v>
      </c>
      <c r="G19" s="137"/>
      <c r="H19" s="76"/>
      <c r="J19" s="9" t="s">
        <v>211</v>
      </c>
      <c r="K19" s="6">
        <v>46048</v>
      </c>
      <c r="L19" s="135">
        <v>170.94</v>
      </c>
      <c r="M19" s="135">
        <f t="shared" ref="M19:M40" si="0">L19*$M$16</f>
        <v>29.059800000000003</v>
      </c>
      <c r="N19" s="135">
        <f t="shared" ref="N19:N40" si="1">F19*$N$4</f>
        <v>200</v>
      </c>
      <c r="O19" s="109"/>
    </row>
    <row r="20" spans="2:15" ht="15.75">
      <c r="B20" s="133"/>
      <c r="C20" s="134"/>
      <c r="D20" s="135"/>
      <c r="E20" s="136">
        <v>45931</v>
      </c>
      <c r="F20" s="135">
        <v>20000</v>
      </c>
      <c r="G20" s="137">
        <f>D18/$D$44</f>
        <v>0.1532567049808429</v>
      </c>
      <c r="H20" s="76"/>
      <c r="J20" s="9" t="s">
        <v>211</v>
      </c>
      <c r="K20" s="6">
        <v>46048</v>
      </c>
      <c r="L20" s="135">
        <v>341.88</v>
      </c>
      <c r="M20" s="135">
        <f t="shared" si="0"/>
        <v>58.119600000000005</v>
      </c>
      <c r="N20" s="135">
        <f t="shared" si="1"/>
        <v>400</v>
      </c>
      <c r="O20" s="109"/>
    </row>
    <row r="21" spans="2:15" ht="9" customHeight="1">
      <c r="B21" s="133"/>
      <c r="C21" s="134"/>
      <c r="D21" s="135"/>
      <c r="E21" s="136"/>
      <c r="F21" s="135"/>
      <c r="G21" s="137"/>
      <c r="H21" s="76"/>
      <c r="L21"/>
      <c r="M21"/>
      <c r="O21" s="109"/>
    </row>
    <row r="22" spans="2:15" ht="15.75">
      <c r="B22" s="133">
        <v>3</v>
      </c>
      <c r="C22" s="134" t="s">
        <v>171</v>
      </c>
      <c r="D22" s="135">
        <v>20000</v>
      </c>
      <c r="E22" s="136">
        <v>45929</v>
      </c>
      <c r="F22" s="135">
        <f>D22</f>
        <v>20000</v>
      </c>
      <c r="G22" s="137">
        <f>D22/$D$44</f>
        <v>7.662835249042145E-2</v>
      </c>
      <c r="H22" s="76"/>
      <c r="I22" s="85" t="str">
        <f>C22</f>
        <v>Silvia TUBIA</v>
      </c>
      <c r="J22" s="9" t="s">
        <v>211</v>
      </c>
      <c r="K22" s="6">
        <v>46048</v>
      </c>
      <c r="L22" s="135">
        <v>341.88</v>
      </c>
      <c r="M22" s="135">
        <f t="shared" si="0"/>
        <v>58.119600000000005</v>
      </c>
      <c r="N22" s="135">
        <f t="shared" si="1"/>
        <v>400</v>
      </c>
      <c r="O22" s="109"/>
    </row>
    <row r="23" spans="2:15" ht="9" customHeight="1">
      <c r="B23" s="133"/>
      <c r="C23" s="134"/>
      <c r="D23" s="135"/>
      <c r="E23" s="136"/>
      <c r="F23" s="135"/>
      <c r="G23" s="137"/>
      <c r="H23" s="76"/>
      <c r="L23"/>
      <c r="M23"/>
      <c r="O23" s="109"/>
    </row>
    <row r="24" spans="2:15" ht="15.75">
      <c r="B24" s="133">
        <v>4</v>
      </c>
      <c r="C24" s="134" t="s">
        <v>172</v>
      </c>
      <c r="D24" s="135">
        <v>20000</v>
      </c>
      <c r="E24" s="136">
        <v>45987</v>
      </c>
      <c r="F24" s="135">
        <v>20000</v>
      </c>
      <c r="G24" s="137">
        <f>D24/$D$44</f>
        <v>7.662835249042145E-2</v>
      </c>
      <c r="H24" s="76"/>
      <c r="I24" s="85" t="str">
        <f>C24</f>
        <v>Stefano BERTOZZI</v>
      </c>
      <c r="J24" s="9" t="s">
        <v>211</v>
      </c>
      <c r="K24" s="6">
        <v>46048</v>
      </c>
      <c r="L24" s="135">
        <v>341.88</v>
      </c>
      <c r="M24" s="135">
        <f t="shared" si="0"/>
        <v>58.119600000000005</v>
      </c>
      <c r="N24" s="135">
        <f t="shared" si="1"/>
        <v>400</v>
      </c>
      <c r="O24" s="109"/>
    </row>
    <row r="25" spans="2:15" ht="9" customHeight="1">
      <c r="B25" s="133"/>
      <c r="C25" s="134"/>
      <c r="D25" s="135"/>
      <c r="E25" s="136"/>
      <c r="F25" s="135"/>
      <c r="G25" s="137"/>
      <c r="H25" s="76"/>
      <c r="L25"/>
      <c r="M25"/>
      <c r="O25" s="109"/>
    </row>
    <row r="26" spans="2:15" ht="15.75">
      <c r="B26" s="133">
        <v>5</v>
      </c>
      <c r="C26" s="134" t="s">
        <v>173</v>
      </c>
      <c r="D26" s="135">
        <v>20000</v>
      </c>
      <c r="E26" s="136">
        <v>45987</v>
      </c>
      <c r="F26" s="135">
        <v>20000</v>
      </c>
      <c r="G26" s="137">
        <f>D26/$D$44</f>
        <v>7.662835249042145E-2</v>
      </c>
      <c r="H26" s="76"/>
      <c r="I26" s="85" t="str">
        <f>C26</f>
        <v>Maria DE MIGUEL BELLVIS</v>
      </c>
      <c r="J26" s="9" t="s">
        <v>211</v>
      </c>
      <c r="K26" s="6">
        <v>46048</v>
      </c>
      <c r="L26" s="135">
        <v>341.88</v>
      </c>
      <c r="M26" s="135">
        <f t="shared" si="0"/>
        <v>58.119600000000005</v>
      </c>
      <c r="N26" s="135">
        <f t="shared" si="1"/>
        <v>400</v>
      </c>
      <c r="O26" s="109"/>
    </row>
    <row r="27" spans="2:15" ht="9" customHeight="1">
      <c r="B27" s="133"/>
      <c r="C27" s="134"/>
      <c r="D27" s="135"/>
      <c r="E27" s="136"/>
      <c r="F27" s="135"/>
      <c r="G27" s="137"/>
      <c r="H27" s="76"/>
      <c r="L27"/>
      <c r="M27"/>
      <c r="O27" s="109"/>
    </row>
    <row r="28" spans="2:15" ht="15.75">
      <c r="B28" s="133">
        <v>6</v>
      </c>
      <c r="C28" s="134" t="s">
        <v>174</v>
      </c>
      <c r="D28" s="135">
        <v>40000</v>
      </c>
      <c r="E28" s="136">
        <v>45988</v>
      </c>
      <c r="F28" s="135">
        <v>40000</v>
      </c>
      <c r="G28" s="137">
        <f>D28/$D$44</f>
        <v>0.1532567049808429</v>
      </c>
      <c r="H28" s="76"/>
      <c r="I28" s="85" t="str">
        <f>C28</f>
        <v>Salvatore DESIDERIO</v>
      </c>
      <c r="J28" s="9" t="s">
        <v>211</v>
      </c>
      <c r="K28" s="6">
        <v>46048</v>
      </c>
      <c r="L28" s="135">
        <v>683.76199999999994</v>
      </c>
      <c r="M28" s="135">
        <f t="shared" si="0"/>
        <v>116.23954000000001</v>
      </c>
      <c r="N28" s="135">
        <f t="shared" si="1"/>
        <v>800</v>
      </c>
      <c r="O28" s="109"/>
    </row>
    <row r="29" spans="2:15" ht="9" customHeight="1">
      <c r="B29" s="133"/>
      <c r="C29" s="134"/>
      <c r="D29" s="135"/>
      <c r="E29" s="136"/>
      <c r="F29" s="135"/>
      <c r="G29" s="137"/>
      <c r="H29" s="76"/>
      <c r="L29"/>
      <c r="M29"/>
      <c r="O29" s="109"/>
    </row>
    <row r="30" spans="2:15" ht="15.75">
      <c r="B30" s="133">
        <v>7</v>
      </c>
      <c r="C30" s="134" t="s">
        <v>175</v>
      </c>
      <c r="D30" s="135">
        <v>20000</v>
      </c>
      <c r="E30" s="136">
        <v>45994</v>
      </c>
      <c r="F30" s="135">
        <v>20000</v>
      </c>
      <c r="G30" s="137">
        <f>D30/$D$44</f>
        <v>7.662835249042145E-2</v>
      </c>
      <c r="H30" s="76"/>
      <c r="I30" s="85" t="str">
        <f>C30</f>
        <v>Enrico TUBIA</v>
      </c>
      <c r="J30" s="9" t="s">
        <v>211</v>
      </c>
      <c r="K30" s="6">
        <v>46048</v>
      </c>
      <c r="L30" s="135">
        <v>341.88</v>
      </c>
      <c r="M30" s="135">
        <f t="shared" si="0"/>
        <v>58.119600000000005</v>
      </c>
      <c r="N30" s="135">
        <f t="shared" si="1"/>
        <v>400</v>
      </c>
      <c r="O30" s="109"/>
    </row>
    <row r="31" spans="2:15" ht="9" customHeight="1">
      <c r="B31" s="133"/>
      <c r="C31" s="134"/>
      <c r="D31" s="135"/>
      <c r="E31" s="136"/>
      <c r="F31" s="135"/>
      <c r="G31" s="137"/>
      <c r="H31" s="76"/>
      <c r="L31"/>
      <c r="M31"/>
      <c r="O31" s="109"/>
    </row>
    <row r="32" spans="2:15" ht="15.75">
      <c r="B32" s="133">
        <v>8</v>
      </c>
      <c r="C32" s="134" t="s">
        <v>176</v>
      </c>
      <c r="D32" s="135">
        <v>20000</v>
      </c>
      <c r="E32" s="136">
        <v>46002</v>
      </c>
      <c r="F32" s="135">
        <v>20000</v>
      </c>
      <c r="G32" s="137">
        <f>D32/$D$44</f>
        <v>7.662835249042145E-2</v>
      </c>
      <c r="H32" s="76"/>
      <c r="I32" s="85" t="str">
        <f>C32</f>
        <v>Greta ZANIBONI</v>
      </c>
      <c r="J32" s="9" t="s">
        <v>211</v>
      </c>
      <c r="K32" s="6">
        <v>46048</v>
      </c>
      <c r="L32" s="135">
        <v>341.88</v>
      </c>
      <c r="M32" s="135">
        <f t="shared" si="0"/>
        <v>58.119600000000005</v>
      </c>
      <c r="N32" s="135">
        <f t="shared" si="1"/>
        <v>400</v>
      </c>
      <c r="O32" s="109"/>
    </row>
    <row r="33" spans="2:15" ht="9" customHeight="1">
      <c r="B33" s="133"/>
      <c r="C33" s="134"/>
      <c r="D33" s="135"/>
      <c r="E33" s="136"/>
      <c r="F33" s="135"/>
      <c r="G33" s="137"/>
      <c r="H33" s="76"/>
      <c r="L33"/>
      <c r="M33"/>
      <c r="O33" s="109"/>
    </row>
    <row r="34" spans="2:15" ht="15.75">
      <c r="B34" s="133">
        <v>9</v>
      </c>
      <c r="C34" s="134" t="s">
        <v>177</v>
      </c>
      <c r="D34" s="135">
        <v>20000</v>
      </c>
      <c r="E34" s="136">
        <v>46000</v>
      </c>
      <c r="F34" s="135">
        <v>20000</v>
      </c>
      <c r="G34" s="137">
        <f>D34/$D$44</f>
        <v>7.662835249042145E-2</v>
      </c>
      <c r="H34" s="76"/>
      <c r="I34" s="85" t="str">
        <f>C34</f>
        <v>Elisa ZANIBONI</v>
      </c>
      <c r="J34" s="9" t="s">
        <v>211</v>
      </c>
      <c r="K34" s="6">
        <v>46048</v>
      </c>
      <c r="L34" s="135">
        <v>341.88</v>
      </c>
      <c r="M34" s="135">
        <f t="shared" si="0"/>
        <v>58.119600000000005</v>
      </c>
      <c r="N34" s="135">
        <f t="shared" si="1"/>
        <v>400</v>
      </c>
      <c r="O34" s="109"/>
    </row>
    <row r="35" spans="2:15" ht="9" customHeight="1">
      <c r="B35" s="133"/>
      <c r="C35" s="134"/>
      <c r="D35" s="135"/>
      <c r="E35" s="136"/>
      <c r="F35" s="135"/>
      <c r="G35" s="137"/>
      <c r="H35" s="76"/>
      <c r="L35"/>
      <c r="M35"/>
      <c r="O35" s="109"/>
    </row>
    <row r="36" spans="2:15" ht="15.75">
      <c r="B36" s="133">
        <v>10</v>
      </c>
      <c r="C36" s="134" t="s">
        <v>209</v>
      </c>
      <c r="D36" s="135">
        <v>40000</v>
      </c>
      <c r="E36" s="136">
        <v>46220</v>
      </c>
      <c r="F36" s="135">
        <v>40000</v>
      </c>
      <c r="G36" s="137">
        <f>D36/$D$44</f>
        <v>0.1532567049808429</v>
      </c>
      <c r="H36" s="76"/>
      <c r="I36" s="85" t="str">
        <f>C36</f>
        <v>Marco STERZI</v>
      </c>
      <c r="J36" s="9" t="s">
        <v>212</v>
      </c>
      <c r="K36" s="6">
        <v>46220</v>
      </c>
      <c r="L36" s="135">
        <v>683.76199999999994</v>
      </c>
      <c r="M36" s="135">
        <f t="shared" si="0"/>
        <v>116.23954000000001</v>
      </c>
      <c r="N36" s="135">
        <f t="shared" si="1"/>
        <v>800</v>
      </c>
      <c r="O36" s="109"/>
    </row>
    <row r="37" spans="2:15" ht="9" customHeight="1">
      <c r="B37" s="133"/>
      <c r="C37" s="134"/>
      <c r="D37" s="135"/>
      <c r="E37" s="136"/>
      <c r="F37" s="135"/>
      <c r="G37" s="137"/>
      <c r="H37" s="76"/>
      <c r="L37"/>
      <c r="M37"/>
      <c r="O37" s="109"/>
    </row>
    <row r="38" spans="2:15" ht="15.75">
      <c r="B38" s="133">
        <v>11</v>
      </c>
      <c r="C38" s="134" t="s">
        <v>210</v>
      </c>
      <c r="D38" s="135">
        <v>20000</v>
      </c>
      <c r="E38" s="136">
        <v>46220</v>
      </c>
      <c r="F38" s="135">
        <v>20000</v>
      </c>
      <c r="G38" s="137">
        <f>D38/$D$44</f>
        <v>7.662835249042145E-2</v>
      </c>
      <c r="H38" s="76"/>
      <c r="I38" s="85" t="str">
        <f>C38</f>
        <v>Giovanni MILETTI</v>
      </c>
      <c r="J38" s="9" t="s">
        <v>212</v>
      </c>
      <c r="K38" s="6">
        <v>46220</v>
      </c>
      <c r="L38" s="135">
        <v>341.88</v>
      </c>
      <c r="M38" s="135">
        <f t="shared" si="0"/>
        <v>58.119600000000005</v>
      </c>
      <c r="N38" s="135">
        <f t="shared" si="1"/>
        <v>400</v>
      </c>
      <c r="O38" s="109"/>
    </row>
    <row r="39" spans="2:15" ht="9" customHeight="1">
      <c r="B39" s="133"/>
      <c r="C39" s="134"/>
      <c r="D39" s="135"/>
      <c r="E39" s="136"/>
      <c r="F39" s="135"/>
      <c r="G39" s="137"/>
      <c r="H39" s="76"/>
      <c r="L39"/>
      <c r="M39"/>
      <c r="O39" s="109"/>
    </row>
    <row r="40" spans="2:15" ht="15.75">
      <c r="B40" s="133">
        <f>B38+1</f>
        <v>12</v>
      </c>
      <c r="C40" s="134"/>
      <c r="D40" s="135">
        <v>0</v>
      </c>
      <c r="E40" s="108"/>
      <c r="F40" s="135">
        <v>0</v>
      </c>
      <c r="G40" s="137">
        <f>D40/$D$44</f>
        <v>0</v>
      </c>
      <c r="H40" s="76"/>
      <c r="I40" s="85"/>
      <c r="L40" s="135">
        <v>0</v>
      </c>
      <c r="M40" s="135">
        <f t="shared" si="0"/>
        <v>0</v>
      </c>
      <c r="N40" s="135">
        <f t="shared" si="1"/>
        <v>0</v>
      </c>
      <c r="O40" s="109"/>
    </row>
    <row r="41" spans="2:15" ht="9" customHeight="1">
      <c r="B41" s="133"/>
      <c r="C41" s="134"/>
      <c r="D41" s="140"/>
      <c r="E41" s="144"/>
      <c r="F41" s="140"/>
      <c r="G41" s="145"/>
      <c r="H41" s="76"/>
      <c r="L41"/>
      <c r="M41"/>
      <c r="O41" s="109"/>
    </row>
    <row r="42" spans="2:15" ht="15.75">
      <c r="B42" s="138"/>
      <c r="C42" s="143" t="s">
        <v>178</v>
      </c>
      <c r="D42" s="135">
        <f>SUM(D18:D41)</f>
        <v>260000</v>
      </c>
      <c r="F42" s="135">
        <f>SUM(F18:F41)</f>
        <v>260000</v>
      </c>
      <c r="G42" s="137">
        <f>SUM(G18:G41)</f>
        <v>0.99616858237547878</v>
      </c>
      <c r="H42" s="76"/>
      <c r="J42" s="108" t="s">
        <v>179</v>
      </c>
      <c r="K42" s="108"/>
      <c r="L42" s="146">
        <f t="shared" ref="L42:M42" si="2">SUM(L18:L41)</f>
        <v>4444.4440000000004</v>
      </c>
      <c r="M42" s="146">
        <f t="shared" si="2"/>
        <v>755.55547999999999</v>
      </c>
      <c r="N42" s="146">
        <f>L42+M42</f>
        <v>5199.9994800000004</v>
      </c>
      <c r="O42" s="109"/>
    </row>
    <row r="43" spans="2:15">
      <c r="B43" s="76"/>
      <c r="D43" s="121"/>
      <c r="F43" s="121"/>
      <c r="G43" s="79"/>
      <c r="H43" s="76"/>
      <c r="O43" s="109"/>
    </row>
    <row r="44" spans="2:15" ht="15.75">
      <c r="B44" s="76"/>
      <c r="C44" s="143" t="s">
        <v>179</v>
      </c>
      <c r="D44" s="146">
        <f>D13+D42</f>
        <v>261000</v>
      </c>
      <c r="F44" s="146">
        <f>F13+F42</f>
        <v>261000</v>
      </c>
      <c r="G44" s="147">
        <f>G13+G42</f>
        <v>0.99999999999999989</v>
      </c>
      <c r="H44" s="76"/>
      <c r="O44" s="109"/>
    </row>
    <row r="45" spans="2:15">
      <c r="B45" s="78"/>
      <c r="C45" s="19"/>
      <c r="D45" s="121"/>
      <c r="E45" s="122"/>
      <c r="F45" s="121"/>
      <c r="G45" s="79"/>
      <c r="H45" s="78"/>
      <c r="I45" s="19"/>
      <c r="J45" s="122"/>
      <c r="K45" s="122"/>
      <c r="L45" s="122"/>
      <c r="M45" s="122"/>
      <c r="N45" s="19"/>
      <c r="O45" s="79"/>
    </row>
  </sheetData>
  <mergeCells count="2">
    <mergeCell ref="H1:O1"/>
    <mergeCell ref="B1:G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Compte Banque</vt:lpstr>
      <vt:lpstr>COMPTAB</vt:lpstr>
      <vt:lpstr>Pivot</vt:lpstr>
      <vt:lpstr>Transfer</vt:lpstr>
      <vt:lpstr>Frais anticipés</vt:lpstr>
      <vt:lpstr>Participation Fee</vt:lpstr>
      <vt:lpstr>'Compte Banque'!Area_stampa</vt:lpstr>
      <vt:lpstr>'Frais anticipés'!Area_stampa</vt:lpstr>
      <vt:lpstr>'Participation Fee'!Area_stampa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 Tubia</cp:lastModifiedBy>
  <cp:lastPrinted>2026-07-17T11:25:35Z</cp:lastPrinted>
  <dcterms:created xsi:type="dcterms:W3CDTF">2021-12-11T10:01:01Z</dcterms:created>
  <dcterms:modified xsi:type="dcterms:W3CDTF">2026-09-06T19:51:01Z</dcterms:modified>
</cp:coreProperties>
</file>