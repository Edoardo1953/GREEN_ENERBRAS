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ilisateur\Desktop\"/>
    </mc:Choice>
  </mc:AlternateContent>
  <xr:revisionPtr revIDLastSave="0" documentId="13_ncr:1_{4CBCB29B-311C-480F-B22B-48B9D93A372D}" xr6:coauthVersionLast="47" xr6:coauthVersionMax="47" xr10:uidLastSave="{00000000-0000-0000-0000-000000000000}"/>
  <bookViews>
    <workbookView xWindow="-120" yWindow="-120" windowWidth="29040" windowHeight="15840" xr2:uid="{214825E0-5539-4043-8654-19809F987639}"/>
  </bookViews>
  <sheets>
    <sheet name="Transfer" sheetId="1" r:id="rId1"/>
  </sheets>
  <externalReferences>
    <externalReference r:id="rId2"/>
    <externalReference r:id="rId3"/>
  </externalReferences>
  <definedNames>
    <definedName name="aaa">#REF!</definedName>
    <definedName name="Anniversaire">#REF!,#REF!,#REF!,#REF!</definedName>
    <definedName name="CAP1E">#REF!</definedName>
    <definedName name="CapitFIXE">#REF!</definedName>
    <definedName name="Changement_de_taux">#REF!</definedName>
    <definedName name="Cout_Total">#REF!</definedName>
    <definedName name="DATDB">#REF!</definedName>
    <definedName name="DebAmort">#REF!</definedName>
    <definedName name="Différé">#REF!</definedName>
    <definedName name="DiffSimple">#REF!</definedName>
    <definedName name="DiffTotal">#REF!</definedName>
    <definedName name="EchFIXE">#REF!</definedName>
    <definedName name="FraisF">#REF!</definedName>
    <definedName name="FraisV">#REF!</definedName>
    <definedName name="Ijour">#REF!</definedName>
    <definedName name="Imois">#REF!</definedName>
    <definedName name="INT1E">#REF!</definedName>
    <definedName name="Jour1">#REF!</definedName>
    <definedName name="Jour2">#REF!</definedName>
    <definedName name="MoisD">#REF!</definedName>
    <definedName name="MtEch">#REF!</definedName>
    <definedName name="MtEmprunt">#REF!</definedName>
    <definedName name="NbDeci">#REF!</definedName>
    <definedName name="NbEch">#REF!</definedName>
    <definedName name="NbEchAn">#REF!</definedName>
    <definedName name="NoEchMaxi">#REF!</definedName>
    <definedName name="NoEchRemb">#REF!</definedName>
    <definedName name="Nombre_échéances">#REF!</definedName>
    <definedName name="Periodicite">#REF!</definedName>
    <definedName name="RVDebit">#REF!</definedName>
    <definedName name="TauxActuariel">#REF!</definedName>
    <definedName name="Total_Capital">#REF!</definedName>
    <definedName name="Total_Frais">#REF!</definedName>
    <definedName name="Total_Intérêts">#REF!</definedName>
    <definedName name="TVDebit">#REF!</definedName>
    <definedName name="TxP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8" i="1" l="1"/>
  <c r="F41" i="1"/>
  <c r="H41" i="1" s="1"/>
  <c r="H44" i="1" s="1"/>
  <c r="H37" i="1"/>
  <c r="J37" i="1" s="1"/>
  <c r="K37" i="1" s="1"/>
  <c r="L37" i="1" s="1"/>
  <c r="H35" i="1"/>
  <c r="G35" i="1" s="1"/>
  <c r="F32" i="1"/>
  <c r="G32" i="1" s="1"/>
  <c r="H28" i="1"/>
  <c r="J28" i="1" s="1"/>
  <c r="K28" i="1" s="1"/>
  <c r="L28" i="1" s="1"/>
  <c r="H26" i="1"/>
  <c r="G26" i="1" s="1"/>
  <c r="F23" i="1"/>
  <c r="F14" i="1"/>
  <c r="H14" i="1" s="1"/>
  <c r="H17" i="1" s="1"/>
  <c r="H10" i="1"/>
  <c r="G8" i="1"/>
  <c r="F5" i="1"/>
  <c r="H5" i="1" s="1"/>
  <c r="H6" i="1" s="1"/>
  <c r="H1" i="1"/>
  <c r="G1" i="1"/>
  <c r="G44" i="1" l="1"/>
  <c r="H46" i="1"/>
  <c r="J46" i="1" s="1"/>
  <c r="K46" i="1" s="1"/>
  <c r="L46" i="1" s="1"/>
  <c r="H19" i="1"/>
  <c r="J19" i="1" s="1"/>
  <c r="K19" i="1" s="1"/>
  <c r="L19" i="1" s="1"/>
  <c r="G17" i="1"/>
  <c r="J10" i="1"/>
  <c r="J48" i="1" l="1"/>
  <c r="K10" i="1"/>
  <c r="H48" i="1"/>
  <c r="G48" i="1" s="1"/>
  <c r="K48" i="1" l="1"/>
  <c r="L48" i="1" s="1"/>
  <c r="L10" i="1"/>
</calcChain>
</file>

<file path=xl/sharedStrings.xml><?xml version="1.0" encoding="utf-8"?>
<sst xmlns="http://schemas.openxmlformats.org/spreadsheetml/2006/main" count="72" uniqueCount="28">
  <si>
    <t>TRASFERIMENTI</t>
  </si>
  <si>
    <t>Cambio EUR/R$</t>
  </si>
  <si>
    <t>Attualizzazione</t>
  </si>
  <si>
    <t>Plus/Minus</t>
  </si>
  <si>
    <t>%</t>
  </si>
  <si>
    <t>OP. NR 01</t>
  </si>
  <si>
    <t>TRI STAR ENERBRAS ONE SCP</t>
  </si>
  <si>
    <t>Fondi trasferiti</t>
  </si>
  <si>
    <t>Spese banca</t>
  </si>
  <si>
    <t>Transfer su:</t>
  </si>
  <si>
    <t>TRI STAR ENERGY LTDA</t>
  </si>
  <si>
    <t>Banco: 348 - BANCO XP S.A.</t>
  </si>
  <si>
    <t>Agenci 1</t>
  </si>
  <si>
    <t>Conta: 18638574</t>
  </si>
  <si>
    <t>Cambio effettivo</t>
  </si>
  <si>
    <t>OP. NR 02</t>
  </si>
  <si>
    <t xml:space="preserve"> </t>
  </si>
  <si>
    <t>6,192 - 0,04 = 6,152 - 0,38% IOF = 6,128 (NET)</t>
  </si>
  <si>
    <t>OP. NR 03</t>
  </si>
  <si>
    <t>6,427 - 0,04 = 6,387 - 0,38% IOF = 6,36 (NET)</t>
  </si>
  <si>
    <t>OP. NR 04</t>
  </si>
  <si>
    <t>OP. NR 05</t>
  </si>
  <si>
    <t>TOT Eur Trasferiti</t>
  </si>
  <si>
    <t>TOT R$ Accreditati</t>
  </si>
  <si>
    <t xml:space="preserve">I fondi sono trasferiti sul conto della TRI STAR ENERGY LTDA che é il General Partner </t>
  </si>
  <si>
    <t>della TRI STAR ENERBRAS ONE SCP che, in quanto SCP, non ha personalità giuridica</t>
  </si>
  <si>
    <t>e quindi non puo' neanche avere un conto bancario.</t>
  </si>
  <si>
    <t>Cambio 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</si>
</sst>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0.000000000000"/>
    <numFmt numFmtId="165" formatCode="[$R$-416]\ #,##0.00;[Red]\-[$R$-416]\ #,##0.00"/>
    <numFmt numFmtId="166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14" fontId="1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/>
    <xf numFmtId="0" fontId="4" fillId="0" borderId="3" xfId="1" applyBorder="1" applyAlignment="1">
      <alignment horizontal="center"/>
    </xf>
    <xf numFmtId="8" fontId="4" fillId="0" borderId="4" xfId="1" applyNumberFormat="1" applyBorder="1"/>
    <xf numFmtId="0" fontId="0" fillId="0" borderId="2" xfId="0" applyBorder="1"/>
    <xf numFmtId="0" fontId="0" fillId="0" borderId="5" xfId="0" applyBorder="1"/>
    <xf numFmtId="10" fontId="1" fillId="0" borderId="5" xfId="0" applyNumberFormat="1" applyFont="1" applyBorder="1" applyAlignment="1">
      <alignment horizontal="center"/>
    </xf>
    <xf numFmtId="0" fontId="0" fillId="0" borderId="6" xfId="0" applyBorder="1"/>
    <xf numFmtId="0" fontId="4" fillId="0" borderId="6" xfId="1" applyBorder="1" applyAlignment="1">
      <alignment horizontal="center"/>
    </xf>
    <xf numFmtId="0" fontId="4" fillId="0" borderId="0" xfId="1" applyAlignment="1">
      <alignment horizontal="center"/>
    </xf>
    <xf numFmtId="14" fontId="4" fillId="0" borderId="0" xfId="1" applyNumberFormat="1" applyAlignment="1">
      <alignment horizontal="center"/>
    </xf>
    <xf numFmtId="8" fontId="5" fillId="2" borderId="1" xfId="1" applyNumberFormat="1" applyFont="1" applyFill="1" applyBorder="1" applyAlignment="1">
      <alignment vertical="center"/>
    </xf>
    <xf numFmtId="8" fontId="4" fillId="0" borderId="7" xfId="1" applyNumberFormat="1" applyBorder="1"/>
    <xf numFmtId="0" fontId="0" fillId="0" borderId="8" xfId="0" applyBorder="1"/>
    <xf numFmtId="10" fontId="1" fillId="0" borderId="8" xfId="0" applyNumberFormat="1" applyFont="1" applyBorder="1" applyAlignment="1">
      <alignment horizontal="center"/>
    </xf>
    <xf numFmtId="8" fontId="4" fillId="0" borderId="9" xfId="1" applyNumberFormat="1" applyBorder="1" applyAlignment="1">
      <alignment vertical="center"/>
    </xf>
    <xf numFmtId="0" fontId="5" fillId="0" borderId="0" xfId="1" applyFont="1" applyAlignment="1">
      <alignment horizontal="left"/>
    </xf>
    <xf numFmtId="8" fontId="5" fillId="0" borderId="0" xfId="1" applyNumberFormat="1" applyFont="1" applyAlignment="1">
      <alignment vertical="center"/>
    </xf>
    <xf numFmtId="164" fontId="4" fillId="0" borderId="0" xfId="1" applyNumberFormat="1" applyAlignment="1">
      <alignment horizontal="center"/>
    </xf>
    <xf numFmtId="165" fontId="4" fillId="0" borderId="7" xfId="1" applyNumberFormat="1" applyBorder="1"/>
    <xf numFmtId="0" fontId="4" fillId="0" borderId="0" xfId="1" applyAlignment="1">
      <alignment horizontal="left"/>
    </xf>
    <xf numFmtId="8" fontId="4" fillId="0" borderId="0" xfId="1" applyNumberFormat="1" applyAlignment="1">
      <alignment vertical="center"/>
    </xf>
    <xf numFmtId="0" fontId="4" fillId="0" borderId="9" xfId="1" applyBorder="1" applyAlignment="1">
      <alignment horizontal="center"/>
    </xf>
    <xf numFmtId="8" fontId="4" fillId="0" borderId="10" xfId="1" applyNumberFormat="1" applyBorder="1"/>
    <xf numFmtId="0" fontId="4" fillId="0" borderId="0" xfId="1" applyAlignment="1">
      <alignment horizontal="right"/>
    </xf>
    <xf numFmtId="0" fontId="5" fillId="2" borderId="0" xfId="1" applyFont="1" applyFill="1" applyAlignment="1">
      <alignment horizontal="center"/>
    </xf>
    <xf numFmtId="165" fontId="4" fillId="0" borderId="10" xfId="1" applyNumberFormat="1" applyBorder="1"/>
    <xf numFmtId="165" fontId="5" fillId="2" borderId="1" xfId="1" applyNumberFormat="1" applyFont="1" applyFill="1" applyBorder="1"/>
    <xf numFmtId="8" fontId="5" fillId="0" borderId="11" xfId="1" applyNumberFormat="1" applyFont="1" applyBorder="1" applyAlignment="1">
      <alignment vertical="center"/>
    </xf>
    <xf numFmtId="8" fontId="5" fillId="0" borderId="12" xfId="1" applyNumberFormat="1" applyFont="1" applyBorder="1" applyAlignment="1">
      <alignment vertical="center"/>
    </xf>
    <xf numFmtId="10" fontId="1" fillId="0" borderId="12" xfId="0" applyNumberFormat="1" applyFont="1" applyBorder="1" applyAlignment="1">
      <alignment horizontal="center"/>
    </xf>
    <xf numFmtId="166" fontId="4" fillId="0" borderId="0" xfId="1" applyNumberFormat="1" applyAlignment="1">
      <alignment horizontal="center"/>
    </xf>
    <xf numFmtId="0" fontId="0" fillId="0" borderId="11" xfId="0" applyBorder="1"/>
    <xf numFmtId="0" fontId="0" fillId="0" borderId="9" xfId="0" applyBorder="1"/>
    <xf numFmtId="0" fontId="4" fillId="0" borderId="10" xfId="1" applyBorder="1" applyAlignment="1">
      <alignment horizontal="center"/>
    </xf>
    <xf numFmtId="0" fontId="1" fillId="0" borderId="0" xfId="0" applyFont="1"/>
    <xf numFmtId="10" fontId="1" fillId="0" borderId="0" xfId="0" applyNumberFormat="1" applyFont="1" applyAlignment="1">
      <alignment horizontal="center"/>
    </xf>
  </cellXfs>
  <cellStyles count="2">
    <cellStyle name="Normal 2" xfId="1" xr:uid="{94584DFC-8B53-4A63-9D38-542A0E75A09C}"/>
    <cellStyle name="Normale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PROPRIETA\FOREX\FOREX%20Calculator.xlsm" TargetMode="External"/><Relationship Id="rId1" Type="http://schemas.openxmlformats.org/officeDocument/2006/relationships/externalLinkPath" Target="file:///G:\PROPRIETA\FOREX\FOREX%20Calculator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GREEN%20ENERBRAS%20ONE%20SCSp\GREEN%20ENERBRAS%20ONE%20SCSp\BILAN\CONTABILITA%20Green%20Enerbras%20One%20SCSp.xlsx" TargetMode="External"/><Relationship Id="rId1" Type="http://schemas.openxmlformats.org/officeDocument/2006/relationships/externalLinkPath" Target="file:///G:\GREEN%20ENERBRAS%20ONE%20SCSp\GREEN%20ENERBRAS%20ONE%20SCSp\BILAN\CONTABILITA%20Green%20Enerbras%20One%20SCS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so"/>
      <sheetName val="cambio"/>
      <sheetName val="cambio (USD)"/>
      <sheetName val="cambio (BRL)"/>
      <sheetName val="Cambi R$"/>
      <sheetName val="Cambi"/>
      <sheetName val="Cambi Mes"/>
    </sheetNames>
    <sheetDataSet>
      <sheetData sheetId="0">
        <row r="1">
          <cell r="E1">
            <v>46204</v>
          </cell>
        </row>
        <row r="18">
          <cell r="C18">
            <v>5.8822830000000002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te Banque"/>
      <sheetName val="COMPTAB"/>
      <sheetName val="Pivot"/>
      <sheetName val="Transfer"/>
      <sheetName val="Frais anticipés"/>
      <sheetName val="Participation Fee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54D2-04FF-47EC-9640-F117DA77EEAF}">
  <dimension ref="A1:M53"/>
  <sheetViews>
    <sheetView tabSelected="1" topLeftCell="B18" zoomScaleNormal="100" workbookViewId="0">
      <selection activeCell="G49" sqref="G49"/>
    </sheetView>
  </sheetViews>
  <sheetFormatPr defaultColWidth="8.7109375" defaultRowHeight="15" x14ac:dyDescent="0.25"/>
  <cols>
    <col min="1" max="1" width="6.140625" customWidth="1"/>
    <col min="2" max="2" width="13.85546875" customWidth="1"/>
    <col min="3" max="3" width="28.85546875" customWidth="1"/>
    <col min="4" max="4" width="11.28515625" customWidth="1"/>
    <col min="5" max="5" width="14.140625" bestFit="1" customWidth="1"/>
    <col min="6" max="6" width="16.7109375" customWidth="1"/>
    <col min="7" max="7" width="14.42578125" customWidth="1"/>
    <col min="8" max="8" width="17.28515625" customWidth="1"/>
    <col min="9" max="9" width="2.85546875" customWidth="1"/>
    <col min="10" max="10" width="14.28515625" customWidth="1"/>
    <col min="11" max="11" width="13.42578125" customWidth="1"/>
    <col min="12" max="12" width="8.7109375" style="44" customWidth="1"/>
  </cols>
  <sheetData>
    <row r="1" spans="1:13" ht="21" x14ac:dyDescent="0.35">
      <c r="C1" s="1" t="s">
        <v>0</v>
      </c>
      <c r="F1" s="2" t="s">
        <v>1</v>
      </c>
      <c r="G1" s="3">
        <f>[1]Tasso!$E$1</f>
        <v>46204</v>
      </c>
      <c r="H1" s="4">
        <f>[1]Tasso!$C$18</f>
        <v>5.8822830000000002</v>
      </c>
      <c r="J1" s="5" t="s">
        <v>2</v>
      </c>
      <c r="K1" s="5" t="s">
        <v>3</v>
      </c>
      <c r="L1" s="6" t="s">
        <v>4</v>
      </c>
    </row>
    <row r="2" spans="1:13" x14ac:dyDescent="0.25">
      <c r="A2" s="7">
        <v>1</v>
      </c>
      <c r="B2" s="8" t="s">
        <v>5</v>
      </c>
      <c r="C2" s="9" t="s">
        <v>6</v>
      </c>
      <c r="D2" s="10"/>
      <c r="E2" s="10"/>
      <c r="F2" s="10"/>
      <c r="G2" s="10"/>
      <c r="H2" s="11"/>
      <c r="J2" s="12"/>
      <c r="K2" s="13"/>
      <c r="L2" s="14"/>
    </row>
    <row r="3" spans="1:13" x14ac:dyDescent="0.25">
      <c r="A3" s="15"/>
      <c r="B3" s="16"/>
      <c r="C3" s="17"/>
      <c r="D3" s="18">
        <v>45975</v>
      </c>
      <c r="E3" t="s">
        <v>7</v>
      </c>
      <c r="F3" s="19">
        <v>50000</v>
      </c>
      <c r="G3" s="17"/>
      <c r="H3" s="20"/>
      <c r="J3" s="15"/>
      <c r="K3" s="21"/>
      <c r="L3" s="22"/>
    </row>
    <row r="4" spans="1:13" x14ac:dyDescent="0.25">
      <c r="A4" s="15"/>
      <c r="B4" s="16"/>
      <c r="C4" s="17"/>
      <c r="D4" s="17"/>
      <c r="E4" t="s">
        <v>8</v>
      </c>
      <c r="F4" s="23">
        <v>-25</v>
      </c>
      <c r="G4" s="17"/>
      <c r="H4" s="20"/>
      <c r="J4" s="15"/>
      <c r="K4" s="21"/>
      <c r="L4" s="22"/>
    </row>
    <row r="5" spans="1:13" x14ac:dyDescent="0.25">
      <c r="A5" s="15"/>
      <c r="B5" s="16" t="s">
        <v>9</v>
      </c>
      <c r="C5" s="24" t="s">
        <v>10</v>
      </c>
      <c r="D5" s="17"/>
      <c r="F5" s="25">
        <f>SUM(F3:F4)</f>
        <v>49975</v>
      </c>
      <c r="G5" s="26">
        <v>6.1312929100569997</v>
      </c>
      <c r="H5" s="27">
        <f>F5*G5</f>
        <v>306411.36318009859</v>
      </c>
      <c r="J5" s="15"/>
      <c r="K5" s="21"/>
      <c r="L5" s="22"/>
    </row>
    <row r="6" spans="1:13" x14ac:dyDescent="0.25">
      <c r="A6" s="15"/>
      <c r="B6" s="16"/>
      <c r="C6" s="28" t="s">
        <v>11</v>
      </c>
      <c r="D6" s="17"/>
      <c r="E6" s="29"/>
      <c r="F6" s="29"/>
      <c r="G6" s="17"/>
      <c r="H6" s="27">
        <f>H8-H5</f>
        <v>-1164.3631800985895</v>
      </c>
      <c r="J6" s="15"/>
      <c r="K6" s="21"/>
      <c r="L6" s="22"/>
    </row>
    <row r="7" spans="1:13" x14ac:dyDescent="0.25">
      <c r="A7" s="15"/>
      <c r="B7" s="16"/>
      <c r="C7" s="28" t="s">
        <v>12</v>
      </c>
      <c r="D7" s="17"/>
      <c r="E7" s="29"/>
      <c r="F7" s="29"/>
      <c r="G7" s="30"/>
      <c r="H7" s="31"/>
      <c r="J7" s="15"/>
      <c r="K7" s="21"/>
      <c r="L7" s="22"/>
    </row>
    <row r="8" spans="1:13" x14ac:dyDescent="0.25">
      <c r="A8" s="15"/>
      <c r="B8" s="16"/>
      <c r="C8" s="28" t="s">
        <v>13</v>
      </c>
      <c r="D8" s="18">
        <v>45975</v>
      </c>
      <c r="E8" s="28" t="s">
        <v>14</v>
      </c>
      <c r="F8" s="32"/>
      <c r="G8" s="33">
        <f>H8/F5</f>
        <v>6.1079939969984993</v>
      </c>
      <c r="H8" s="27">
        <v>305247</v>
      </c>
      <c r="J8" s="15"/>
      <c r="K8" s="21"/>
      <c r="L8" s="22"/>
    </row>
    <row r="9" spans="1:13" x14ac:dyDescent="0.25">
      <c r="A9" s="15"/>
      <c r="B9" s="16"/>
      <c r="C9" s="17"/>
      <c r="D9" s="17"/>
      <c r="E9" s="28" t="s">
        <v>8</v>
      </c>
      <c r="F9" s="32"/>
      <c r="G9" s="17"/>
      <c r="H9" s="34">
        <v>-7</v>
      </c>
      <c r="J9" s="15"/>
      <c r="K9" s="21"/>
      <c r="L9" s="22"/>
    </row>
    <row r="10" spans="1:13" x14ac:dyDescent="0.25">
      <c r="A10" s="15"/>
      <c r="B10" s="15"/>
      <c r="D10" s="17"/>
      <c r="E10" s="17"/>
      <c r="F10" s="17"/>
      <c r="G10" s="17"/>
      <c r="H10" s="35">
        <f>SUM(H8:H9)</f>
        <v>305240</v>
      </c>
      <c r="J10" s="36">
        <f>H10/$H$1</f>
        <v>51891.416988947996</v>
      </c>
      <c r="K10" s="37">
        <f>J10-F3</f>
        <v>1891.4169889479963</v>
      </c>
      <c r="L10" s="38">
        <f>K10/F3</f>
        <v>3.7828339778959927E-2</v>
      </c>
    </row>
    <row r="11" spans="1:13" x14ac:dyDescent="0.25">
      <c r="A11" s="7">
        <v>2</v>
      </c>
      <c r="B11" s="8" t="s">
        <v>15</v>
      </c>
      <c r="C11" s="9" t="s">
        <v>6</v>
      </c>
      <c r="D11" s="10"/>
      <c r="E11" s="10"/>
      <c r="F11" s="10"/>
      <c r="G11" s="10"/>
      <c r="H11" s="11"/>
      <c r="J11" s="15"/>
      <c r="K11" s="21"/>
      <c r="L11" s="22"/>
    </row>
    <row r="12" spans="1:13" x14ac:dyDescent="0.25">
      <c r="A12" s="15"/>
      <c r="B12" s="16"/>
      <c r="C12" s="17"/>
      <c r="D12" s="18">
        <v>45993</v>
      </c>
      <c r="E12" t="s">
        <v>7</v>
      </c>
      <c r="F12" s="19">
        <v>50000</v>
      </c>
      <c r="G12" s="17"/>
      <c r="H12" s="27"/>
      <c r="J12" s="15"/>
      <c r="K12" s="21"/>
      <c r="L12" s="22"/>
    </row>
    <row r="13" spans="1:13" x14ac:dyDescent="0.25">
      <c r="A13" s="15"/>
      <c r="B13" s="16"/>
      <c r="C13" s="17"/>
      <c r="D13" s="17"/>
      <c r="E13" t="s">
        <v>8</v>
      </c>
      <c r="F13" s="23">
        <v>-25</v>
      </c>
      <c r="G13" s="17"/>
      <c r="H13" s="27"/>
      <c r="J13" s="15"/>
      <c r="K13" s="21"/>
      <c r="L13" s="22"/>
    </row>
    <row r="14" spans="1:13" x14ac:dyDescent="0.25">
      <c r="A14" s="15"/>
      <c r="B14" s="16" t="s">
        <v>9</v>
      </c>
      <c r="C14" s="24" t="s">
        <v>10</v>
      </c>
      <c r="D14" s="17"/>
      <c r="F14" s="25">
        <f>SUM(F12:F13)</f>
        <v>49975</v>
      </c>
      <c r="G14" s="39">
        <v>6.1281239999999997</v>
      </c>
      <c r="H14" s="27">
        <f>F14*G14</f>
        <v>306252.99689999997</v>
      </c>
      <c r="J14" s="15"/>
      <c r="K14" s="21"/>
      <c r="L14" s="22"/>
      <c r="M14" t="s">
        <v>16</v>
      </c>
    </row>
    <row r="15" spans="1:13" x14ac:dyDescent="0.25">
      <c r="A15" s="15"/>
      <c r="B15" s="16"/>
      <c r="C15" s="28" t="s">
        <v>11</v>
      </c>
      <c r="D15" s="17"/>
      <c r="E15" s="29"/>
      <c r="F15" s="29"/>
      <c r="G15" s="17"/>
      <c r="H15" s="27"/>
      <c r="J15" s="15"/>
      <c r="K15" s="21"/>
      <c r="L15" s="22"/>
    </row>
    <row r="16" spans="1:13" x14ac:dyDescent="0.25">
      <c r="A16" s="15"/>
      <c r="B16" s="16"/>
      <c r="C16" s="28" t="s">
        <v>12</v>
      </c>
      <c r="D16" s="17"/>
      <c r="E16" s="29"/>
      <c r="F16" s="29"/>
      <c r="G16" s="30"/>
      <c r="H16" s="31"/>
      <c r="J16" s="15"/>
      <c r="K16" s="21"/>
      <c r="L16" s="22"/>
    </row>
    <row r="17" spans="1:13" x14ac:dyDescent="0.25">
      <c r="A17" s="15"/>
      <c r="B17" s="16"/>
      <c r="C17" s="28" t="s">
        <v>13</v>
      </c>
      <c r="D17" s="18"/>
      <c r="E17" s="28" t="s">
        <v>14</v>
      </c>
      <c r="F17" s="32"/>
      <c r="G17" s="33">
        <f>H17/F14</f>
        <v>6.1281239999999997</v>
      </c>
      <c r="H17" s="27">
        <f>SUM(H14:H16)</f>
        <v>306252.99689999997</v>
      </c>
      <c r="J17" s="15"/>
      <c r="K17" s="21"/>
      <c r="L17" s="22"/>
    </row>
    <row r="18" spans="1:13" x14ac:dyDescent="0.25">
      <c r="A18" s="15"/>
      <c r="B18" s="16"/>
      <c r="C18" s="17"/>
      <c r="D18" s="17"/>
      <c r="E18" s="28" t="s">
        <v>8</v>
      </c>
      <c r="F18" s="32"/>
      <c r="G18" s="17"/>
      <c r="H18" s="34">
        <v>-7</v>
      </c>
      <c r="J18" s="15"/>
      <c r="K18" s="21"/>
      <c r="L18" s="22"/>
    </row>
    <row r="19" spans="1:13" x14ac:dyDescent="0.25">
      <c r="A19" s="15"/>
      <c r="B19" s="15"/>
      <c r="D19" s="17"/>
      <c r="E19" t="s">
        <v>17</v>
      </c>
      <c r="F19" s="17"/>
      <c r="G19" s="17"/>
      <c r="H19" s="35">
        <f>SUM(H17:H18)</f>
        <v>306245.99689999997</v>
      </c>
      <c r="J19" s="36">
        <f>H19/$H$1</f>
        <v>52062.438495393704</v>
      </c>
      <c r="K19" s="37">
        <f>J19-F12</f>
        <v>2062.4384953937042</v>
      </c>
      <c r="L19" s="38">
        <f>K19/F12</f>
        <v>4.1248769907874086E-2</v>
      </c>
    </row>
    <row r="20" spans="1:13" x14ac:dyDescent="0.25">
      <c r="A20" s="7">
        <v>2</v>
      </c>
      <c r="B20" s="8" t="s">
        <v>18</v>
      </c>
      <c r="C20" s="9" t="s">
        <v>6</v>
      </c>
      <c r="D20" s="10"/>
      <c r="E20" s="10"/>
      <c r="F20" s="10"/>
      <c r="G20" s="10"/>
      <c r="H20" s="11"/>
      <c r="J20" s="15"/>
      <c r="K20" s="21"/>
      <c r="L20" s="22"/>
    </row>
    <row r="21" spans="1:13" x14ac:dyDescent="0.25">
      <c r="A21" s="15"/>
      <c r="B21" s="16"/>
      <c r="C21" s="17"/>
      <c r="D21" s="18">
        <v>46007</v>
      </c>
      <c r="E21" t="s">
        <v>7</v>
      </c>
      <c r="F21" s="19">
        <v>50000</v>
      </c>
      <c r="G21" s="17"/>
      <c r="H21" s="27"/>
      <c r="J21" s="15"/>
      <c r="K21" s="21"/>
      <c r="L21" s="22"/>
    </row>
    <row r="22" spans="1:13" x14ac:dyDescent="0.25">
      <c r="A22" s="15"/>
      <c r="B22" s="16"/>
      <c r="C22" s="17"/>
      <c r="D22" s="17"/>
      <c r="E22" t="s">
        <v>8</v>
      </c>
      <c r="F22" s="23">
        <v>-25</v>
      </c>
      <c r="G22" s="17"/>
      <c r="H22" s="27"/>
      <c r="J22" s="15"/>
      <c r="K22" s="21"/>
      <c r="L22" s="22"/>
    </row>
    <row r="23" spans="1:13" x14ac:dyDescent="0.25">
      <c r="A23" s="15"/>
      <c r="B23" s="16" t="s">
        <v>9</v>
      </c>
      <c r="C23" s="24" t="s">
        <v>10</v>
      </c>
      <c r="D23" s="17"/>
      <c r="F23" s="25">
        <f>SUM(F21:F22)</f>
        <v>49975</v>
      </c>
      <c r="G23" s="39">
        <v>6.36</v>
      </c>
      <c r="H23" s="27">
        <v>317848</v>
      </c>
      <c r="J23" s="15"/>
      <c r="K23" s="21"/>
      <c r="L23" s="22"/>
      <c r="M23" t="s">
        <v>16</v>
      </c>
    </row>
    <row r="24" spans="1:13" x14ac:dyDescent="0.25">
      <c r="A24" s="15"/>
      <c r="B24" s="16"/>
      <c r="C24" s="28" t="s">
        <v>11</v>
      </c>
      <c r="D24" s="17"/>
      <c r="E24" s="29"/>
      <c r="F24" s="29"/>
      <c r="G24" s="17"/>
      <c r="H24" s="27"/>
      <c r="J24" s="15"/>
      <c r="K24" s="21"/>
      <c r="L24" s="22"/>
    </row>
    <row r="25" spans="1:13" x14ac:dyDescent="0.25">
      <c r="A25" s="15"/>
      <c r="B25" s="16"/>
      <c r="C25" s="28" t="s">
        <v>12</v>
      </c>
      <c r="D25" s="17"/>
      <c r="E25" s="29"/>
      <c r="F25" s="29"/>
      <c r="G25" s="30"/>
      <c r="H25" s="31"/>
      <c r="J25" s="15"/>
      <c r="K25" s="21"/>
      <c r="L25" s="22"/>
    </row>
    <row r="26" spans="1:13" x14ac:dyDescent="0.25">
      <c r="A26" s="15"/>
      <c r="B26" s="16"/>
      <c r="C26" s="28" t="s">
        <v>13</v>
      </c>
      <c r="D26" s="18"/>
      <c r="E26" s="28" t="s">
        <v>14</v>
      </c>
      <c r="F26" s="32"/>
      <c r="G26" s="33">
        <f>H26/F23</f>
        <v>6.3601400700350172</v>
      </c>
      <c r="H26" s="27">
        <f>SUM(H23:H25)</f>
        <v>317848</v>
      </c>
      <c r="J26" s="15"/>
      <c r="K26" s="21"/>
      <c r="L26" s="22"/>
    </row>
    <row r="27" spans="1:13" x14ac:dyDescent="0.25">
      <c r="A27" s="15"/>
      <c r="B27" s="16"/>
      <c r="C27" s="17"/>
      <c r="D27" s="17"/>
      <c r="E27" s="28" t="s">
        <v>8</v>
      </c>
      <c r="F27" s="32"/>
      <c r="G27" s="17"/>
      <c r="H27" s="34">
        <v>-7</v>
      </c>
      <c r="J27" s="15"/>
      <c r="K27" s="21"/>
      <c r="L27" s="22"/>
    </row>
    <row r="28" spans="1:13" x14ac:dyDescent="0.25">
      <c r="A28" s="15"/>
      <c r="B28" s="15"/>
      <c r="D28" s="17"/>
      <c r="E28" t="s">
        <v>19</v>
      </c>
      <c r="F28" s="17"/>
      <c r="G28" s="17"/>
      <c r="H28" s="35">
        <f>SUM(H26:H27)</f>
        <v>317841</v>
      </c>
      <c r="J28" s="36">
        <f>H28/$H$1</f>
        <v>54033.61245965214</v>
      </c>
      <c r="K28" s="37">
        <f>J28-F21</f>
        <v>4033.6124596521404</v>
      </c>
      <c r="L28" s="38">
        <f>K28/F21</f>
        <v>8.0672249193042805E-2</v>
      </c>
    </row>
    <row r="29" spans="1:13" x14ac:dyDescent="0.25">
      <c r="A29" s="7">
        <v>2</v>
      </c>
      <c r="B29" s="8" t="s">
        <v>20</v>
      </c>
      <c r="C29" s="9" t="s">
        <v>6</v>
      </c>
      <c r="D29" s="10"/>
      <c r="E29" s="10"/>
      <c r="F29" s="10"/>
      <c r="G29" s="10"/>
      <c r="H29" s="11"/>
      <c r="J29" s="15"/>
      <c r="K29" s="21"/>
      <c r="L29" s="22"/>
    </row>
    <row r="30" spans="1:13" x14ac:dyDescent="0.25">
      <c r="A30" s="15"/>
      <c r="B30" s="16"/>
      <c r="C30" s="17"/>
      <c r="D30" s="18">
        <v>46149</v>
      </c>
      <c r="E30" t="s">
        <v>7</v>
      </c>
      <c r="F30" s="19">
        <v>40000</v>
      </c>
      <c r="G30" s="17"/>
      <c r="H30" s="27"/>
      <c r="J30" s="15"/>
      <c r="K30" s="21"/>
      <c r="L30" s="22"/>
    </row>
    <row r="31" spans="1:13" x14ac:dyDescent="0.25">
      <c r="A31" s="15"/>
      <c r="B31" s="16"/>
      <c r="C31" s="17"/>
      <c r="D31" s="17"/>
      <c r="E31" t="s">
        <v>8</v>
      </c>
      <c r="F31" s="23">
        <v>-25</v>
      </c>
      <c r="G31" s="17"/>
      <c r="H31" s="27"/>
      <c r="J31" s="15"/>
      <c r="K31" s="21"/>
      <c r="L31" s="22"/>
    </row>
    <row r="32" spans="1:13" x14ac:dyDescent="0.25">
      <c r="A32" s="15"/>
      <c r="B32" s="16" t="s">
        <v>9</v>
      </c>
      <c r="C32" s="24" t="s">
        <v>10</v>
      </c>
      <c r="D32" s="17"/>
      <c r="F32" s="25">
        <f>SUM(F30:F31)</f>
        <v>39975</v>
      </c>
      <c r="G32" s="39">
        <f>H32/F32</f>
        <v>5.706688430268918</v>
      </c>
      <c r="H32" s="27">
        <v>228124.87</v>
      </c>
      <c r="J32" s="15"/>
      <c r="K32" s="21"/>
      <c r="L32" s="22"/>
      <c r="M32" t="s">
        <v>16</v>
      </c>
    </row>
    <row r="33" spans="1:13" x14ac:dyDescent="0.25">
      <c r="A33" s="15"/>
      <c r="B33" s="16"/>
      <c r="C33" s="28" t="s">
        <v>11</v>
      </c>
      <c r="D33" s="17"/>
      <c r="E33" s="29"/>
      <c r="F33" s="29"/>
      <c r="G33" s="17"/>
      <c r="H33" s="27">
        <v>-859.74</v>
      </c>
      <c r="J33" s="15"/>
      <c r="K33" s="21"/>
      <c r="L33" s="22"/>
    </row>
    <row r="34" spans="1:13" x14ac:dyDescent="0.25">
      <c r="A34" s="15"/>
      <c r="B34" s="16"/>
      <c r="C34" s="28" t="s">
        <v>12</v>
      </c>
      <c r="D34" s="17"/>
      <c r="E34" s="29"/>
      <c r="F34" s="29"/>
      <c r="G34" s="30"/>
      <c r="H34" s="31"/>
      <c r="J34" s="15"/>
      <c r="K34" s="21"/>
      <c r="L34" s="22"/>
    </row>
    <row r="35" spans="1:13" x14ac:dyDescent="0.25">
      <c r="A35" s="15"/>
      <c r="B35" s="16"/>
      <c r="C35" s="28" t="s">
        <v>13</v>
      </c>
      <c r="D35" s="18">
        <v>46150</v>
      </c>
      <c r="E35" s="28" t="s">
        <v>14</v>
      </c>
      <c r="F35" s="32"/>
      <c r="G35" s="33">
        <f>H35/F32</f>
        <v>5.6851814884302687</v>
      </c>
      <c r="H35" s="27">
        <f>SUM(H32:H34)</f>
        <v>227265.13</v>
      </c>
      <c r="J35" s="15"/>
      <c r="K35" s="21"/>
      <c r="L35" s="22"/>
    </row>
    <row r="36" spans="1:13" x14ac:dyDescent="0.25">
      <c r="A36" s="15"/>
      <c r="B36" s="16"/>
      <c r="C36" s="17"/>
      <c r="D36" s="17"/>
      <c r="E36" s="28" t="s">
        <v>8</v>
      </c>
      <c r="F36" s="32"/>
      <c r="G36" s="17"/>
      <c r="H36" s="34">
        <v>-7.13</v>
      </c>
      <c r="J36" s="15"/>
      <c r="K36" s="21"/>
      <c r="L36" s="22"/>
    </row>
    <row r="37" spans="1:13" x14ac:dyDescent="0.25">
      <c r="A37" s="15"/>
      <c r="B37" s="40"/>
      <c r="C37" s="41"/>
      <c r="D37" s="30"/>
      <c r="E37" s="41"/>
      <c r="F37" s="30"/>
      <c r="G37" s="42"/>
      <c r="H37" s="35">
        <f>SUM(H35:H36)</f>
        <v>227258</v>
      </c>
      <c r="J37" s="36">
        <f>H37/$H$1</f>
        <v>38634.319362057213</v>
      </c>
      <c r="K37" s="37">
        <f>J37-F30</f>
        <v>-1365.6806379427871</v>
      </c>
      <c r="L37" s="38">
        <f>K37/F30</f>
        <v>-3.4142015948569679E-2</v>
      </c>
    </row>
    <row r="38" spans="1:13" x14ac:dyDescent="0.25">
      <c r="A38" s="7">
        <v>2</v>
      </c>
      <c r="B38" s="8" t="s">
        <v>21</v>
      </c>
      <c r="C38" s="9" t="s">
        <v>6</v>
      </c>
      <c r="D38" s="10"/>
      <c r="E38" s="10"/>
      <c r="F38" s="10"/>
      <c r="G38" s="10"/>
      <c r="H38" s="11"/>
      <c r="J38" s="15"/>
      <c r="K38" s="21"/>
      <c r="L38" s="22"/>
    </row>
    <row r="39" spans="1:13" x14ac:dyDescent="0.25">
      <c r="A39" s="15"/>
      <c r="B39" s="16"/>
      <c r="C39" s="17"/>
      <c r="D39" s="18">
        <v>46230</v>
      </c>
      <c r="E39" t="s">
        <v>7</v>
      </c>
      <c r="F39" s="19">
        <v>50000</v>
      </c>
      <c r="G39" s="17"/>
      <c r="H39" s="27"/>
      <c r="J39" s="15"/>
      <c r="K39" s="21"/>
      <c r="L39" s="22"/>
    </row>
    <row r="40" spans="1:13" x14ac:dyDescent="0.25">
      <c r="A40" s="15"/>
      <c r="B40" s="16"/>
      <c r="C40" s="17"/>
      <c r="D40" s="17"/>
      <c r="E40" t="s">
        <v>8</v>
      </c>
      <c r="F40" s="23">
        <v>-25</v>
      </c>
      <c r="G40" s="17"/>
      <c r="H40" s="27"/>
      <c r="J40" s="15"/>
      <c r="K40" s="21"/>
      <c r="L40" s="22"/>
    </row>
    <row r="41" spans="1:13" x14ac:dyDescent="0.25">
      <c r="A41" s="15"/>
      <c r="B41" s="16" t="s">
        <v>9</v>
      </c>
      <c r="C41" s="24" t="s">
        <v>10</v>
      </c>
      <c r="D41" s="17"/>
      <c r="F41" s="25">
        <f>SUM(F39:F40)</f>
        <v>49975</v>
      </c>
      <c r="G41" s="39">
        <v>5.75</v>
      </c>
      <c r="H41" s="27">
        <f>F41*G41-0.25</f>
        <v>287356</v>
      </c>
      <c r="J41" s="15"/>
      <c r="K41" s="21"/>
      <c r="L41" s="22"/>
      <c r="M41" t="s">
        <v>16</v>
      </c>
    </row>
    <row r="42" spans="1:13" x14ac:dyDescent="0.25">
      <c r="A42" s="15"/>
      <c r="B42" s="16"/>
      <c r="C42" s="28" t="s">
        <v>11</v>
      </c>
      <c r="D42" s="17"/>
      <c r="E42" s="29"/>
      <c r="F42" s="29"/>
      <c r="G42" s="17"/>
      <c r="H42" s="27">
        <v>0</v>
      </c>
      <c r="J42" s="15"/>
      <c r="K42" s="21"/>
      <c r="L42" s="22"/>
    </row>
    <row r="43" spans="1:13" x14ac:dyDescent="0.25">
      <c r="A43" s="15"/>
      <c r="B43" s="16"/>
      <c r="C43" s="28" t="s">
        <v>12</v>
      </c>
      <c r="D43" s="17"/>
      <c r="E43" s="29"/>
      <c r="F43" s="29"/>
      <c r="G43" s="30"/>
      <c r="H43" s="31"/>
      <c r="J43" s="15"/>
      <c r="K43" s="21"/>
      <c r="L43" s="22"/>
    </row>
    <row r="44" spans="1:13" x14ac:dyDescent="0.25">
      <c r="A44" s="15"/>
      <c r="B44" s="16"/>
      <c r="C44" s="28" t="s">
        <v>13</v>
      </c>
      <c r="D44" s="18">
        <v>46231</v>
      </c>
      <c r="E44" s="28" t="s">
        <v>14</v>
      </c>
      <c r="F44" s="32"/>
      <c r="G44" s="33">
        <f>H44/F41</f>
        <v>5.7499949974987494</v>
      </c>
      <c r="H44" s="27">
        <f>SUM(H41:H43)</f>
        <v>287356</v>
      </c>
      <c r="J44" s="15"/>
      <c r="K44" s="21"/>
      <c r="L44" s="22"/>
    </row>
    <row r="45" spans="1:13" x14ac:dyDescent="0.25">
      <c r="A45" s="15"/>
      <c r="B45" s="16"/>
      <c r="C45" s="17"/>
      <c r="D45" s="17"/>
      <c r="E45" s="28" t="s">
        <v>8</v>
      </c>
      <c r="F45" s="32"/>
      <c r="G45" s="17"/>
      <c r="H45" s="34">
        <v>0</v>
      </c>
      <c r="J45" s="15"/>
      <c r="K45" s="21"/>
      <c r="L45" s="22"/>
    </row>
    <row r="46" spans="1:13" x14ac:dyDescent="0.25">
      <c r="A46" s="15"/>
      <c r="B46" s="40"/>
      <c r="C46" s="41"/>
      <c r="D46" s="30"/>
      <c r="E46" s="41"/>
      <c r="F46" s="30"/>
      <c r="G46" s="42"/>
      <c r="H46" s="35">
        <f>SUM(H44:H45)</f>
        <v>287356</v>
      </c>
      <c r="J46" s="36">
        <f>H46/$H$1</f>
        <v>48851.10083958898</v>
      </c>
      <c r="K46" s="37">
        <f>J46-F39</f>
        <v>-1148.8991604110197</v>
      </c>
      <c r="L46" s="38">
        <f>K46/F39</f>
        <v>-2.2977983208220393E-2</v>
      </c>
    </row>
    <row r="48" spans="1:13" x14ac:dyDescent="0.25">
      <c r="F48" s="19">
        <f>F3+F12+F21+F30+F39</f>
        <v>240000</v>
      </c>
      <c r="G48" s="5">
        <f>H48/F48</f>
        <v>6.0164208204166663</v>
      </c>
      <c r="H48" s="35">
        <f>H10+H19+H28+H37+H46</f>
        <v>1443940.9968999999</v>
      </c>
      <c r="J48" s="19">
        <f>SUM(J1:J37)</f>
        <v>196621.78730605106</v>
      </c>
      <c r="K48" s="19">
        <f>SUM(K1:K37)</f>
        <v>6621.7873060510537</v>
      </c>
      <c r="L48" s="6">
        <f>K48/F48</f>
        <v>2.7590780441879389E-2</v>
      </c>
    </row>
    <row r="49" spans="3:8" x14ac:dyDescent="0.25">
      <c r="F49" s="43" t="s">
        <v>22</v>
      </c>
      <c r="G49" s="43" t="s">
        <v>27</v>
      </c>
      <c r="H49" s="43" t="s">
        <v>23</v>
      </c>
    </row>
    <row r="51" spans="3:8" x14ac:dyDescent="0.25">
      <c r="C51" s="28" t="s">
        <v>24</v>
      </c>
    </row>
    <row r="52" spans="3:8" x14ac:dyDescent="0.25">
      <c r="C52" s="28" t="s">
        <v>25</v>
      </c>
    </row>
    <row r="53" spans="3:8" x14ac:dyDescent="0.25">
      <c r="C53" s="28" t="s">
        <v>26</v>
      </c>
    </row>
  </sheetData>
  <conditionalFormatting sqref="L2:L46 L48">
    <cfRule type="cellIs" dxfId="0" priority="1" operator="lessThan">
      <formula>0</formula>
    </cfRule>
  </conditionalFormatting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Tubia</dc:creator>
  <cp:lastModifiedBy>Edoardo Tubia</cp:lastModifiedBy>
  <dcterms:created xsi:type="dcterms:W3CDTF">2026-09-06T11:56:06Z</dcterms:created>
  <dcterms:modified xsi:type="dcterms:W3CDTF">2026-09-06T11:57:19Z</dcterms:modified>
</cp:coreProperties>
</file>