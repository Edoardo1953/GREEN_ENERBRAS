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Preco (R$ x KWh)" sheetId="1" state="visible" r:id="rId1"/>
    <sheet xmlns:r="http://schemas.openxmlformats.org/officeDocument/2006/relationships" name="Antigravity" sheetId="2" state="visible" r:id="rId2"/>
    <sheet xmlns:r="http://schemas.openxmlformats.org/officeDocument/2006/relationships" name="Grafico" sheetId="3" state="visible" r:id="rId3"/>
    <sheet xmlns:r="http://schemas.openxmlformats.org/officeDocument/2006/relationships" name="inflazione_brasile" sheetId="4" state="visible" r:id="rId4"/>
    <sheet xmlns:r="http://schemas.openxmlformats.org/officeDocument/2006/relationships" name="Inflazione annua" sheetId="5" state="visible" r:id="rId5"/>
  </sheets>
  <externalReferences>
    <externalReference xmlns:r="http://schemas.openxmlformats.org/officeDocument/2006/relationships" r:id="rId6"/>
  </externalReferences>
  <definedNames>
    <definedName name="CompetenciasDisponiveis">OFFSET('[1]Resumo Usinas (Histórico)'!$F$5,0,0,COUNTIFS('[1]Resumo Usinas (Histórico)'!$F$5:$F$500,"&lt;&gt;"),1)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R$-416]\ #,##0.00000000;[Red]\-[$R$-416]\ #,##0.00000000"/>
    <numFmt numFmtId="165" formatCode="0.0000"/>
    <numFmt numFmtId="166" formatCode="0.000000"/>
    <numFmt numFmtId="167" formatCode="yyyy-mm-dd h:mm:ss"/>
  </numFmts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9"/>
    </font>
    <font>
      <name val="Aptos Narrow"/>
      <family val="2"/>
      <color theme="1"/>
      <sz val="10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9"/>
    </font>
    <font>
      <name val="Aptos Narrow"/>
      <family val="2"/>
      <color theme="1"/>
      <sz val="9"/>
      <scheme val="minor"/>
    </font>
    <font>
      <name val="Aptos Narrow"/>
      <family val="2"/>
      <b val="1"/>
      <color theme="1"/>
      <sz val="12"/>
      <scheme val="minor"/>
    </font>
    <font>
      <name val="Segoe UI"/>
      <family val="2"/>
      <color rgb="FF101010"/>
      <sz val="11"/>
    </font>
    <font>
      <name val="Segoe UI"/>
      <family val="2"/>
      <b val="1"/>
      <color rgb="FF10101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0" fontId="1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7" fontId="0" fillId="0" borderId="1" pivotButton="0" quotePrefix="0" xfId="0"/>
    <xf numFmtId="0" fontId="0" fillId="0" borderId="1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center" vertical="center" wrapText="1"/>
    </xf>
    <xf numFmtId="10" fontId="3" fillId="0" borderId="0" applyAlignment="1" pivotButton="0" quotePrefix="0" xfId="1">
      <alignment horizontal="center"/>
    </xf>
    <xf numFmtId="0" fontId="5" fillId="0" borderId="0" pivotButton="0" quotePrefix="0" xfId="1"/>
    <xf numFmtId="0" fontId="6" fillId="0" borderId="0" pivotButton="0" quotePrefix="0" xfId="1"/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10" fontId="7" fillId="0" borderId="4" applyAlignment="1" pivotButton="0" quotePrefix="0" xfId="1">
      <alignment horizontal="center" vertical="center" wrapText="1"/>
    </xf>
    <xf numFmtId="0" fontId="5" fillId="0" borderId="4" applyAlignment="1" pivotButton="0" quotePrefix="0" xfId="1">
      <alignment horizontal="center" vertical="center" wrapText="1"/>
    </xf>
    <xf numFmtId="0" fontId="8" fillId="0" borderId="0" applyAlignment="1" pivotButton="0" quotePrefix="0" xfId="1">
      <alignment wrapText="1"/>
    </xf>
    <xf numFmtId="0" fontId="8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17" fontId="9" fillId="0" borderId="5" applyAlignment="1" pivotButton="0" quotePrefix="0" xfId="1">
      <alignment horizontal="center" vertical="center"/>
    </xf>
    <xf numFmtId="164" fontId="9" fillId="0" borderId="6" applyAlignment="1" pivotButton="0" quotePrefix="0" xfId="1">
      <alignment horizontal="center" vertical="center"/>
    </xf>
    <xf numFmtId="164" fontId="9" fillId="0" borderId="7" applyAlignment="1" pivotButton="0" quotePrefix="0" xfId="1">
      <alignment horizontal="center" vertical="center"/>
    </xf>
    <xf numFmtId="10" fontId="9" fillId="0" borderId="8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8" fillId="0" borderId="0" pivotButton="0" quotePrefix="0" xfId="1"/>
    <xf numFmtId="0" fontId="1" fillId="0" borderId="0" pivotButton="0" quotePrefix="0" xfId="1"/>
    <xf numFmtId="10" fontId="9" fillId="0" borderId="1" applyAlignment="1" pivotButton="0" quotePrefix="0" xfId="1">
      <alignment horizontal="center"/>
    </xf>
    <xf numFmtId="0" fontId="9" fillId="0" borderId="1" applyAlignment="1" pivotButton="0" quotePrefix="0" xfId="0">
      <alignment horizontal="center"/>
    </xf>
    <xf numFmtId="10" fontId="8" fillId="0" borderId="0" applyAlignment="1" pivotButton="0" quotePrefix="0" xfId="1">
      <alignment horizontal="center"/>
    </xf>
    <xf numFmtId="0" fontId="9" fillId="0" borderId="0" pivotButton="0" quotePrefix="0" xfId="1"/>
    <xf numFmtId="10" fontId="1" fillId="0" borderId="0" applyAlignment="1" pivotButton="0" quotePrefix="0" xfId="1">
      <alignment horizontal="center"/>
    </xf>
    <xf numFmtId="0" fontId="10" fillId="0" borderId="0" pivotButton="0" quotePrefix="0" xfId="1"/>
    <xf numFmtId="17" fontId="0" fillId="2" borderId="1" pivotButton="0" quotePrefix="0" xfId="0"/>
    <xf numFmtId="2" fontId="0" fillId="2" borderId="1" pivotButton="0" quotePrefix="0" xfId="0"/>
    <xf numFmtId="0" fontId="11" fillId="2" borderId="1" applyAlignment="1" pivotButton="0" quotePrefix="0" xfId="0">
      <alignment horizontal="center"/>
    </xf>
    <xf numFmtId="0" fontId="11" fillId="2" borderId="1" pivotButton="0" quotePrefix="0" xfId="0"/>
    <xf numFmtId="0" fontId="12" fillId="0" borderId="0" applyAlignment="1" pivotButton="0" quotePrefix="0" xfId="0">
      <alignment vertical="center" wrapText="1"/>
    </xf>
    <xf numFmtId="165" fontId="2" fillId="0" borderId="1" applyAlignment="1" pivotButton="0" quotePrefix="0" xfId="0">
      <alignment horizontal="center"/>
    </xf>
    <xf numFmtId="0" fontId="13" fillId="0" borderId="0" applyAlignment="1" pivotButton="0" quotePrefix="0" xfId="0">
      <alignment horizontal="left" vertical="center" wrapText="1" indent="1"/>
    </xf>
    <xf numFmtId="164" fontId="3" fillId="2" borderId="6" applyAlignment="1" pivotButton="0" quotePrefix="0" xfId="1">
      <alignment horizontal="right" vertical="center"/>
    </xf>
    <xf numFmtId="166" fontId="0" fillId="0" borderId="1" pivotButton="0" quotePrefix="0" xfId="0"/>
    <xf numFmtId="0" fontId="0" fillId="2" borderId="1" applyAlignment="1" pivotButton="0" quotePrefix="0" xfId="0">
      <alignment horizontal="center"/>
    </xf>
    <xf numFmtId="167" fontId="0" fillId="0" borderId="1" pivotButton="0" quotePrefix="0" xfId="0"/>
  </cellXfs>
  <cellStyles count="2">
    <cellStyle name="Normale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'Preco (R$ x KWh)'!$B$2</f>
              <strCache>
                <ptCount val="1"/>
                <pt idx="0">
                  <v>Preco (R$ x KWh)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'Preco (R$ x KWh)'!$A$3:$A$25</f>
              <numCache>
                <formatCode>mmm\-yy</formatCode>
                <ptCount val="23"/>
                <pt idx="0">
                  <v>45505</v>
                </pt>
                <pt idx="1">
                  <v>45536</v>
                </pt>
                <pt idx="2">
                  <v>45566</v>
                </pt>
                <pt idx="3">
                  <v>45597</v>
                </pt>
                <pt idx="4">
                  <v>45627</v>
                </pt>
                <pt idx="5">
                  <v>45658</v>
                </pt>
                <pt idx="6">
                  <v>45689</v>
                </pt>
                <pt idx="7">
                  <v>45717</v>
                </pt>
                <pt idx="8">
                  <v>45748</v>
                </pt>
                <pt idx="9">
                  <v>45778</v>
                </pt>
                <pt idx="10">
                  <v>45809</v>
                </pt>
                <pt idx="11">
                  <v>45839</v>
                </pt>
                <pt idx="12">
                  <v>45870</v>
                </pt>
                <pt idx="13">
                  <v>45901</v>
                </pt>
                <pt idx="14">
                  <v>45931</v>
                </pt>
                <pt idx="15">
                  <v>45962</v>
                </pt>
                <pt idx="16">
                  <v>45992</v>
                </pt>
                <pt idx="17">
                  <v>46023</v>
                </pt>
                <pt idx="18">
                  <v>46054</v>
                </pt>
                <pt idx="19">
                  <v>46082</v>
                </pt>
                <pt idx="20">
                  <v>46113</v>
                </pt>
                <pt idx="21">
                  <v>46143</v>
                </pt>
                <pt idx="22">
                  <v>46174</v>
                </pt>
              </numCache>
            </numRef>
          </cat>
          <val>
            <numRef>
              <f>'Preco (R$ x KWh)'!$B$3:$B$25</f>
              <numCache>
                <formatCode>[$R$-416]\ #,##0.00000000;[Red]\-[$R$-416]\ #,##0.00000000</formatCode>
                <ptCount val="23"/>
                <pt idx="0">
                  <v>0.9436287800000001</v>
                </pt>
                <pt idx="1">
                  <v>0.94995059</v>
                </pt>
                <pt idx="2">
                  <v>0.95706369</v>
                </pt>
                <pt idx="3">
                  <v>0.95655929</v>
                </pt>
                <pt idx="4">
                  <v>0.95686187</v>
                </pt>
                <pt idx="5">
                  <v>0.94304042</v>
                </pt>
                <pt idx="6">
                  <v>0.9762132100000001</v>
                </pt>
                <pt idx="7">
                  <v>0.9579729699999999</v>
                </pt>
                <pt idx="8">
                  <v>0.98119725</v>
                </pt>
                <pt idx="9">
                  <v>0.98489525</v>
                </pt>
                <pt idx="10">
                  <v>0.97710323</v>
                </pt>
                <pt idx="11">
                  <v>0.9953991</v>
                </pt>
                <pt idx="12">
                  <v>0.99274356</v>
                </pt>
                <pt idx="13">
                  <v>0.98444444</v>
                </pt>
                <pt idx="14">
                  <v>0.99306147</v>
                </pt>
                <pt idx="15">
                  <v>1.00269454</v>
                </pt>
                <pt idx="16">
                  <v>1.00269454</v>
                </pt>
                <pt idx="17">
                  <v>0.9912626499999999</v>
                </pt>
                <pt idx="18">
                  <v>0.9867416099999999</v>
                </pt>
                <pt idx="19">
                  <v>0.9905238399999999</v>
                </pt>
                <pt idx="20">
                  <v>0.98642772</v>
                </pt>
                <pt idx="21">
                  <v>1.02512955</v>
                </pt>
                <pt idx="22">
                  <v>1.03197828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75757344"/>
        <axId val="497346400"/>
      </lineChart>
      <dateAx>
        <axId val="575757344"/>
        <scaling>
          <orientation val="minMax"/>
        </scaling>
        <delete val="0"/>
        <axPos val="b"/>
        <numFmt formatCode="mmm\-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7346400"/>
        <crosses val="autoZero"/>
        <lblOffset val="100"/>
        <baseTimeUnit val="months"/>
      </dateAx>
      <valAx>
        <axId val="49734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[$R$-416]\ #,##0.00000000;[Red]\-[$R$-416]\ #,##0.00000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7575734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12700" cap="flat" cmpd="sng" algn="ctr">
      <a:solidFill>
        <a:sysClr val="windowText" lastClr="000000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'Preco (R$ x KWh)'!$F$2</f>
              <strCache>
                <ptCount val="1"/>
                <pt idx="0">
                  <v>Inflazione Brasile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'Preco (R$ x KWh)'!$A$3:$A$26</f>
              <numCache>
                <formatCode>mmm\-yy</formatCode>
                <ptCount val="24"/>
                <pt idx="0">
                  <v>45505</v>
                </pt>
                <pt idx="1">
                  <v>45536</v>
                </pt>
                <pt idx="2">
                  <v>45566</v>
                </pt>
                <pt idx="3">
                  <v>45597</v>
                </pt>
                <pt idx="4">
                  <v>45627</v>
                </pt>
                <pt idx="5">
                  <v>45658</v>
                </pt>
                <pt idx="6">
                  <v>45689</v>
                </pt>
                <pt idx="7">
                  <v>45717</v>
                </pt>
                <pt idx="8">
                  <v>45748</v>
                </pt>
                <pt idx="9">
                  <v>45778</v>
                </pt>
                <pt idx="10">
                  <v>45809</v>
                </pt>
                <pt idx="11">
                  <v>45839</v>
                </pt>
                <pt idx="12">
                  <v>45870</v>
                </pt>
                <pt idx="13">
                  <v>45901</v>
                </pt>
                <pt idx="14">
                  <v>45931</v>
                </pt>
                <pt idx="15">
                  <v>45962</v>
                </pt>
                <pt idx="16">
                  <v>45992</v>
                </pt>
                <pt idx="17">
                  <v>46023</v>
                </pt>
                <pt idx="18">
                  <v>46054</v>
                </pt>
                <pt idx="19">
                  <v>46082</v>
                </pt>
                <pt idx="20">
                  <v>46113</v>
                </pt>
                <pt idx="21">
                  <v>46143</v>
                </pt>
                <pt idx="22">
                  <v>46174</v>
                </pt>
                <pt idx="23">
                  <v>46204</v>
                </pt>
              </numCache>
            </numRef>
          </cat>
          <val>
            <numRef>
              <f>'Preco (R$ x KWh)'!$F$3:$F$26</f>
              <numCache>
                <formatCode>General</formatCode>
                <ptCount val="24"/>
                <pt idx="0">
                  <v>4.24</v>
                </pt>
                <pt idx="1">
                  <v>4.42</v>
                </pt>
                <pt idx="2">
                  <v>4.76</v>
                </pt>
                <pt idx="3">
                  <v>4.87</v>
                </pt>
                <pt idx="4">
                  <v>4.83</v>
                </pt>
                <pt idx="5">
                  <v>4.56</v>
                </pt>
                <pt idx="6">
                  <v>5.06</v>
                </pt>
                <pt idx="7">
                  <v>5.48</v>
                </pt>
                <pt idx="8">
                  <v>5.53</v>
                </pt>
                <pt idx="9">
                  <v>5.32</v>
                </pt>
                <pt idx="10">
                  <v>5.35</v>
                </pt>
                <pt idx="11">
                  <v>5.23</v>
                </pt>
                <pt idx="12">
                  <v>5.13</v>
                </pt>
                <pt idx="13">
                  <v>5.17</v>
                </pt>
                <pt idx="14">
                  <v>4.68</v>
                </pt>
                <pt idx="15">
                  <v>4.46</v>
                </pt>
                <pt idx="16">
                  <v>4.26</v>
                </pt>
                <pt idx="17">
                  <v>4.44</v>
                </pt>
                <pt idx="18">
                  <v>3.81</v>
                </pt>
                <pt idx="19">
                  <v>4.14</v>
                </pt>
                <pt idx="20">
                  <v>4.39</v>
                </pt>
                <pt idx="21">
                  <v>4.72</v>
                </pt>
                <pt idx="22">
                  <v>4.64</v>
                </pt>
                <pt idx="23">
                  <v>4.44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19926048"/>
        <axId val="1495339744"/>
      </lineChart>
      <dateAx>
        <axId val="1619926048"/>
        <scaling>
          <orientation val="minMax"/>
        </scaling>
        <delete val="0"/>
        <axPos val="b"/>
        <numFmt formatCode="mmm\-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95339744"/>
        <crosses val="autoZero"/>
        <lblOffset val="100"/>
        <baseTimeUnit val="months"/>
      </dateAx>
      <valAx>
        <axId val="149533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1992604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Tariffe Cosern vs Indice Inflazione (IPCA)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Indice Tariffa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Antigravity!$A$2:$A$25</f>
              <numCache>
                <formatCode>mmm\-yy</formatCode>
                <ptCount val="24"/>
                <pt idx="0">
                  <v>45505</v>
                </pt>
                <pt idx="1">
                  <v>45536</v>
                </pt>
                <pt idx="2">
                  <v>45566</v>
                </pt>
                <pt idx="3">
                  <v>45597</v>
                </pt>
                <pt idx="4">
                  <v>45627</v>
                </pt>
                <pt idx="5">
                  <v>45658</v>
                </pt>
                <pt idx="6">
                  <v>45689</v>
                </pt>
                <pt idx="7">
                  <v>45717</v>
                </pt>
                <pt idx="8">
                  <v>45748</v>
                </pt>
                <pt idx="9">
                  <v>45778</v>
                </pt>
                <pt idx="10">
                  <v>45809</v>
                </pt>
                <pt idx="11">
                  <v>45839</v>
                </pt>
                <pt idx="12">
                  <v>45870</v>
                </pt>
                <pt idx="13">
                  <v>45901</v>
                </pt>
                <pt idx="14">
                  <v>45931</v>
                </pt>
                <pt idx="15">
                  <v>45962</v>
                </pt>
                <pt idx="16">
                  <v>45992</v>
                </pt>
                <pt idx="17">
                  <v>46023</v>
                </pt>
                <pt idx="18">
                  <v>46054</v>
                </pt>
                <pt idx="19">
                  <v>46082</v>
                </pt>
                <pt idx="20">
                  <v>46113</v>
                </pt>
                <pt idx="21">
                  <v>46143</v>
                </pt>
                <pt idx="22">
                  <v>46174</v>
                </pt>
                <pt idx="23">
                  <v>46204</v>
                </pt>
              </numCache>
            </numRef>
          </cat>
          <val>
            <numRef>
              <f>Antigravity!$D$2:$D$25</f>
              <numCache>
                <formatCode>General</formatCode>
                <ptCount val="24"/>
                <pt idx="0">
                  <formatCode>0.00</formatCode>
                  <v>100</v>
                </pt>
                <pt idx="1">
                  <v>100.6699467135795</v>
                </pt>
                <pt idx="2">
                  <v>101.4237494960677</v>
                </pt>
                <pt idx="3">
                  <v>101.3702962726508</v>
                </pt>
                <pt idx="4">
                  <v>101.4023618482683</v>
                </pt>
                <pt idx="5">
                  <v>99.93764920989375</v>
                </pt>
                <pt idx="6">
                  <v>103.4530983677713</v>
                </pt>
                <pt idx="7">
                  <v>101.5201094226905</v>
                </pt>
                <pt idx="8">
                  <v>103.9812764082927</v>
                </pt>
                <pt idx="9">
                  <v>104.3731678043987</v>
                </pt>
                <pt idx="10">
                  <v>103.5474172375285</v>
                </pt>
                <pt idx="11">
                  <v>105.4863015093711</v>
                </pt>
                <pt idx="12">
                  <v>105.2048836407893</v>
                </pt>
                <pt idx="13">
                  <v>104.3253937210351</v>
                </pt>
                <pt idx="14">
                  <v>105.238573795937</v>
                </pt>
                <pt idx="15">
                  <v>106.2594275685403</v>
                </pt>
                <pt idx="16">
                  <v>106.2594275685403</v>
                </pt>
                <pt idx="17">
                  <v>105.0479458670177</v>
                </pt>
                <pt idx="18">
                  <v>104.5688337314171</v>
                </pt>
                <pt idx="19">
                  <v>104.9696513071591</v>
                </pt>
                <pt idx="20">
                  <formatCode>0.000000</formatCode>
                  <v>104.5355695912539</v>
                </pt>
                <pt idx="21">
                  <v>108.6369525524645</v>
                </pt>
                <pt idx="22">
                  <v>109.3627390211647</v>
                </pt>
                <pt idx="23">
                  <v>109.3627390211647</v>
                </pt>
              </numCache>
            </numRef>
          </val>
          <smooth val="0"/>
        </ser>
        <ser>
          <idx val="1"/>
          <order val="1"/>
          <tx>
            <v>Indice Inflazione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Antigravity!$A$2:$A$25</f>
              <numCache>
                <formatCode>mmm\-yy</formatCode>
                <ptCount val="24"/>
                <pt idx="0">
                  <v>45505</v>
                </pt>
                <pt idx="1">
                  <v>45536</v>
                </pt>
                <pt idx="2">
                  <v>45566</v>
                </pt>
                <pt idx="3">
                  <v>45597</v>
                </pt>
                <pt idx="4">
                  <v>45627</v>
                </pt>
                <pt idx="5">
                  <v>45658</v>
                </pt>
                <pt idx="6">
                  <v>45689</v>
                </pt>
                <pt idx="7">
                  <v>45717</v>
                </pt>
                <pt idx="8">
                  <v>45748</v>
                </pt>
                <pt idx="9">
                  <v>45778</v>
                </pt>
                <pt idx="10">
                  <v>45809</v>
                </pt>
                <pt idx="11">
                  <v>45839</v>
                </pt>
                <pt idx="12">
                  <v>45870</v>
                </pt>
                <pt idx="13">
                  <v>45901</v>
                </pt>
                <pt idx="14">
                  <v>45931</v>
                </pt>
                <pt idx="15">
                  <v>45962</v>
                </pt>
                <pt idx="16">
                  <v>45992</v>
                </pt>
                <pt idx="17">
                  <v>46023</v>
                </pt>
                <pt idx="18">
                  <v>46054</v>
                </pt>
                <pt idx="19">
                  <v>46082</v>
                </pt>
                <pt idx="20">
                  <v>46113</v>
                </pt>
                <pt idx="21">
                  <v>46143</v>
                </pt>
                <pt idx="22">
                  <v>46174</v>
                </pt>
                <pt idx="23">
                  <v>46204</v>
                </pt>
              </numCache>
            </numRef>
          </cat>
          <val>
            <numRef>
              <f>Antigravity!$E$2:$E$25</f>
              <numCache>
                <formatCode>0.000000</formatCode>
                <ptCount val="24"/>
                <pt idx="0">
                  <formatCode>0.00</formatCode>
                  <v>100</v>
                </pt>
                <pt idx="1">
                  <v>100.44</v>
                </pt>
                <pt idx="2">
                  <formatCode>General</formatCode>
                  <v>101.002464</v>
                </pt>
                <pt idx="3">
                  <formatCode>General</formatCode>
                  <v>101.3963736096</v>
                </pt>
                <pt idx="4">
                  <formatCode>General</formatCode>
                  <v>101.9236347523699</v>
                </pt>
                <pt idx="5">
                  <formatCode>General</formatCode>
                  <v>102.0867125679737</v>
                </pt>
                <pt idx="6">
                  <formatCode>General</formatCode>
                  <v>103.4240485026142</v>
                </pt>
                <pt idx="7">
                  <formatCode>General</formatCode>
                  <v>104.0032231742288</v>
                </pt>
                <pt idx="8">
                  <formatCode>General</formatCode>
                  <v>104.450437033878</v>
                </pt>
                <pt idx="9">
                  <formatCode>General</formatCode>
                  <v>104.7220081701661</v>
                </pt>
                <pt idx="10">
                  <formatCode>General</formatCode>
                  <v>104.9733409897745</v>
                </pt>
                <pt idx="11">
                  <formatCode>General</formatCode>
                  <v>105.2462716763479</v>
                </pt>
                <pt idx="12">
                  <formatCode>General</formatCode>
                  <v>105.1305007775039</v>
                </pt>
                <pt idx="13">
                  <formatCode>General</formatCode>
                  <v>105.6351271812359</v>
                </pt>
                <pt idx="14">
                  <formatCode>General</formatCode>
                  <v>105.730198795699</v>
                </pt>
                <pt idx="15">
                  <formatCode>General</formatCode>
                  <v>105.9205131535313</v>
                </pt>
                <pt idx="16">
                  <formatCode>General</formatCode>
                  <v>106.2700508469379</v>
                </pt>
                <pt idx="17">
                  <formatCode>General</formatCode>
                  <v>106.6207420147329</v>
                </pt>
                <pt idx="18">
                  <formatCode>General</formatCode>
                  <v>107.367087208836</v>
                </pt>
                <pt idx="19">
                  <formatCode>General</formatCode>
                  <v>108.3119175762737</v>
                </pt>
                <pt idx="20">
                  <formatCode>General</formatCode>
                  <v>109.0376074240347</v>
                </pt>
                <pt idx="21">
                  <formatCode>General</formatCode>
                  <v>109.6700255470942</v>
                </pt>
                <pt idx="22">
                  <formatCode>General</formatCode>
                  <v>109.8454975879695</v>
                </pt>
                <pt idx="23">
                  <formatCode>General</formatCode>
                  <v>109.9223894362811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77968"/>
        <axId val="13373408"/>
      </lineChart>
      <dateAx>
        <axId val="14677968"/>
        <scaling>
          <orientation val="minMax"/>
        </scaling>
        <delete val="0"/>
        <axPos val="b"/>
        <numFmt formatCode="mmm\-yy" sourceLinked="1"/>
        <majorTickMark val="out"/>
        <minorTickMark val="none"/>
        <tickLblPos val="nextTo"/>
        <crossAx val="13373408"/>
        <crosses val="autoZero"/>
        <lblOffset val="100"/>
        <baseTimeUnit val="months"/>
      </dateAx>
      <valAx>
        <axId val="13373408"/>
        <scaling>
          <orientation val="minMax"/>
        </scaling>
        <delete val="0"/>
        <axPos val="l"/>
        <majorGridlines/>
        <numFmt formatCode="0.00" sourceLinked="1"/>
        <majorTickMark val="out"/>
        <minorTickMark val="none"/>
        <tickLblPos val="nextTo"/>
        <crossAx val="14677968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200"/>
          </a:pPr>
          <a:r>
            <a:t/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9</col>
      <colOff>533400</colOff>
      <row>2</row>
      <rowOff>90487</rowOff>
    </from>
    <to>
      <col>17</col>
      <colOff>533400</colOff>
      <row>21</row>
      <rowOff>119062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533400</colOff>
      <row>23</row>
      <rowOff>23812</rowOff>
    </from>
    <to>
      <col>17</col>
      <colOff>533400</colOff>
      <row>42</row>
      <rowOff>52387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5</col>
      <colOff>539749</colOff>
      <row>0</row>
      <rowOff>263525</rowOff>
    </from>
    <to>
      <col>19</col>
      <colOff>428624</colOff>
      <row>30</row>
      <rowOff>142875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219075</colOff>
      <row>0</row>
      <rowOff>171450</rowOff>
    </from>
    <to>
      <col>19</col>
      <colOff>136786</colOff>
      <row>36</row>
      <rowOff>28575</rowOff>
    </to>
    <pic>
      <nvPicPr>
        <cNvPr id="2" name="Immagin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9075" y="171450"/>
          <a:ext cx="11500111" cy="6715125"/>
        </a:xfrm>
        <a:prstGeom xmlns:a="http://schemas.openxmlformats.org/drawingml/2006/main" prst="rect">
          <avLst/>
        </a:prstGeom>
        <a:ln xmlns:a="http://schemas.openxmlformats.org/drawingml/2006/main" w="12700">
          <a:solidFill>
            <a:schemeClr val="tx1"/>
          </a:solidFill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G:\GREEN%20ENERBRAS%20ONE%20SCSp\BRASILE\TRI%20STAR%20ENERGY%20LTDA%20(GP)\Relatorios%20Talita\Controle_GD_TriStarOne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ções"/>
      <sheetName val="Preco (R$ x KWh)"/>
      <sheetName val="Dashboard"/>
      <sheetName val="Faturamento (Não Editar)"/>
      <sheetName val="Resumo Usinas (Histórico)"/>
      <sheetName val="Rateio de Crédito"/>
      <sheetName val="Dados Mensais (Histórico)"/>
      <sheetName val="Auxiliar (Não Editar)"/>
    </sheetNames>
    <sheetDataSet>
      <sheetData sheetId="0"/>
      <sheetData sheetId="1"/>
      <sheetData sheetId="2"/>
      <sheetData sheetId="3"/>
      <sheetData sheetId="4">
        <row r="5">
          <cell r="F5">
            <v>46204</v>
          </cell>
        </row>
        <row r="6">
          <cell r="F6">
            <v>46204</v>
          </cell>
        </row>
        <row r="7">
          <cell r="F7">
            <v>46204</v>
          </cell>
        </row>
        <row r="8">
          <cell r="F8">
            <v>46204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AA1000"/>
  <sheetViews>
    <sheetView showGridLines="0" workbookViewId="0">
      <selection activeCell="B26" sqref="B26:B27"/>
    </sheetView>
  </sheetViews>
  <sheetFormatPr baseColWidth="8" defaultColWidth="12.5703125" defaultRowHeight="15" customHeight="1"/>
  <cols>
    <col width="9.140625" customWidth="1" style="23" min="1" max="1"/>
    <col width="15" customWidth="1" style="23" min="2" max="2"/>
    <col width="15.42578125" customWidth="1" style="23" min="3" max="3"/>
    <col width="11.140625" customWidth="1" style="28" min="4" max="4"/>
    <col width="10" customWidth="1" style="29" min="5" max="6"/>
    <col width="9.140625" customWidth="1" style="23" min="7" max="7"/>
    <col width="8.5703125" customWidth="1" style="23" min="8" max="27"/>
    <col width="12.5703125" customWidth="1" style="23" min="28" max="16384"/>
  </cols>
  <sheetData>
    <row r="1" ht="26.25" customFormat="1" customHeight="1" s="9" thickBot="1">
      <c r="A1" s="5" t="n"/>
      <c r="B1" s="6" t="inlineStr">
        <is>
          <t>TARIFA COSERN</t>
        </is>
      </c>
      <c r="C1" s="6" t="inlineStr">
        <is>
          <t>TARIFA CLIENTE</t>
        </is>
      </c>
      <c r="D1" s="7" t="n"/>
      <c r="E1" s="8" t="n"/>
      <c r="F1" s="8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 ht="11.25" customFormat="1" customHeight="1" s="16" thickBot="1">
      <c r="A2" s="10" t="inlineStr">
        <is>
          <t>Mês</t>
        </is>
      </c>
      <c r="B2" s="10" t="inlineStr">
        <is>
          <t>Preco (R$ x KWh)</t>
        </is>
      </c>
      <c r="C2" s="11" t="inlineStr">
        <is>
          <t>Preco (R$ x KWh)</t>
        </is>
      </c>
      <c r="D2" s="12" t="inlineStr">
        <is>
          <t>% desconto</t>
        </is>
      </c>
      <c r="E2" s="13" t="inlineStr">
        <is>
          <t>Variazione</t>
        </is>
      </c>
      <c r="F2" s="13" t="inlineStr">
        <is>
          <t>Inflazione Brasile</t>
        </is>
      </c>
      <c r="G2" s="14" t="n"/>
      <c r="H2" s="15" t="inlineStr">
        <is>
          <t>Check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</row>
    <row r="3" ht="11.25" customHeight="1">
      <c r="A3" s="17" t="n">
        <v>45505</v>
      </c>
      <c r="B3" s="18" t="n">
        <v>0.9436287800000001</v>
      </c>
      <c r="C3" s="19">
        <f>IF(B3="","",B3*0.7)</f>
        <v/>
      </c>
      <c r="D3" s="20" t="n">
        <v>0.3</v>
      </c>
      <c r="E3" s="21" t="n">
        <v>-0.02</v>
      </c>
      <c r="F3" s="21" t="n">
        <v>4.24</v>
      </c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</row>
    <row r="4" ht="11.25" customHeight="1">
      <c r="A4" s="17" t="n">
        <v>45536</v>
      </c>
      <c r="B4" s="18" t="n">
        <v>0.94995059</v>
      </c>
      <c r="C4" s="19">
        <f>IF(B4="","",B4*0.7)</f>
        <v/>
      </c>
      <c r="D4" s="20" t="n">
        <v>0.3</v>
      </c>
      <c r="E4" s="21" t="n">
        <v>0.44</v>
      </c>
      <c r="F4" s="21" t="n">
        <v>4.42</v>
      </c>
      <c r="G4" s="22" t="n"/>
      <c r="H4" s="22">
        <f>F4-F3</f>
        <v/>
      </c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</row>
    <row r="5" ht="11.25" customHeight="1">
      <c r="A5" s="17" t="n">
        <v>45566</v>
      </c>
      <c r="B5" s="18" t="n">
        <v>0.95706369</v>
      </c>
      <c r="C5" s="19">
        <f>IF(B5="","",B5*0.7)</f>
        <v/>
      </c>
      <c r="D5" s="20" t="n">
        <v>0.3</v>
      </c>
      <c r="E5" s="21" t="n">
        <v>0.5600000000000001</v>
      </c>
      <c r="F5" s="21" t="n">
        <v>4.76</v>
      </c>
      <c r="G5" s="22" t="n"/>
      <c r="H5" s="22">
        <f>F5-F4</f>
        <v/>
      </c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</row>
    <row r="6" ht="11.25" customHeight="1">
      <c r="A6" s="17" t="n">
        <v>45597</v>
      </c>
      <c r="B6" s="18" t="n">
        <v>0.95655929</v>
      </c>
      <c r="C6" s="19">
        <f>IF(B6="","",B6*0.7)</f>
        <v/>
      </c>
      <c r="D6" s="20" t="n">
        <v>0.3</v>
      </c>
      <c r="E6" s="21" t="n">
        <v>0.39</v>
      </c>
      <c r="F6" s="21" t="n">
        <v>4.87</v>
      </c>
      <c r="G6" s="22" t="n"/>
      <c r="H6" s="22">
        <f>F6-F5</f>
        <v/>
      </c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</row>
    <row r="7" ht="11.25" customHeight="1">
      <c r="A7" s="17" t="n">
        <v>45627</v>
      </c>
      <c r="B7" s="18" t="n">
        <v>0.95686187</v>
      </c>
      <c r="C7" s="19">
        <f>IF(B7="","",B7*0.7)</f>
        <v/>
      </c>
      <c r="D7" s="20" t="n">
        <v>0.3</v>
      </c>
      <c r="E7" s="21" t="n">
        <v>0.52</v>
      </c>
      <c r="F7" s="21" t="n">
        <v>4.83</v>
      </c>
      <c r="G7" s="22" t="n"/>
      <c r="H7" s="22">
        <f>F7-F6</f>
        <v/>
      </c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</row>
    <row r="8" ht="11.25" customHeight="1">
      <c r="A8" s="17" t="n">
        <v>45658</v>
      </c>
      <c r="B8" s="18" t="n">
        <v>0.94304042</v>
      </c>
      <c r="C8" s="19">
        <f>IF(B8="","",B8*0.7)</f>
        <v/>
      </c>
      <c r="D8" s="20" t="n">
        <v>0.3</v>
      </c>
      <c r="E8" s="21" t="n">
        <v>0.16</v>
      </c>
      <c r="F8" s="21" t="n">
        <v>4.56</v>
      </c>
      <c r="G8" s="22" t="n"/>
      <c r="H8" s="22">
        <f>F8-F7</f>
        <v/>
      </c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</row>
    <row r="9" ht="11.25" customHeight="1">
      <c r="A9" s="17" t="n">
        <v>45689</v>
      </c>
      <c r="B9" s="18" t="n">
        <v>0.9762132100000001</v>
      </c>
      <c r="C9" s="19">
        <f>IF(B9="","",B9*0.7)</f>
        <v/>
      </c>
      <c r="D9" s="20" t="n">
        <v>0.3</v>
      </c>
      <c r="E9" s="21" t="n">
        <v>1.31</v>
      </c>
      <c r="F9" s="21" t="n">
        <v>5.06</v>
      </c>
      <c r="G9" s="22" t="n"/>
      <c r="H9" s="22">
        <f>F9-F8</f>
        <v/>
      </c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</row>
    <row r="10" ht="11.25" customHeight="1">
      <c r="A10" s="17" t="n">
        <v>45717</v>
      </c>
      <c r="B10" s="18" t="n">
        <v>0.9579729699999999</v>
      </c>
      <c r="C10" s="19">
        <f>IF(B10="","",B10*0.7)</f>
        <v/>
      </c>
      <c r="D10" s="20" t="n">
        <v>0.3</v>
      </c>
      <c r="E10" s="21" t="n">
        <v>0.5600000000000001</v>
      </c>
      <c r="F10" s="21" t="n">
        <v>5.48</v>
      </c>
      <c r="G10" s="22" t="n"/>
      <c r="H10" s="22">
        <f>F10-F9</f>
        <v/>
      </c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</row>
    <row r="11" ht="11.25" customHeight="1">
      <c r="A11" s="17" t="n">
        <v>45748</v>
      </c>
      <c r="B11" s="18" t="n">
        <v>0.98119725</v>
      </c>
      <c r="C11" s="19">
        <f>IF(B11="","",B11*0.7)</f>
        <v/>
      </c>
      <c r="D11" s="20" t="n">
        <v>0.3</v>
      </c>
      <c r="E11" s="21" t="n">
        <v>0.43</v>
      </c>
      <c r="F11" s="21" t="n">
        <v>5.53</v>
      </c>
      <c r="G11" s="22" t="n"/>
      <c r="H11" s="22">
        <f>F11-F10</f>
        <v/>
      </c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</row>
    <row r="12" ht="11.25" customHeight="1">
      <c r="A12" s="17" t="n">
        <v>45778</v>
      </c>
      <c r="B12" s="18" t="n">
        <v>0.98489525</v>
      </c>
      <c r="C12" s="19">
        <f>IF(B12="","",B12*0.7)</f>
        <v/>
      </c>
      <c r="D12" s="20" t="n">
        <v>0.3</v>
      </c>
      <c r="E12" s="21" t="n">
        <v>0.26</v>
      </c>
      <c r="F12" s="21" t="n">
        <v>5.32</v>
      </c>
      <c r="G12" s="22" t="n"/>
      <c r="H12" s="22">
        <f>F12-F11</f>
        <v/>
      </c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</row>
    <row r="13" ht="11.25" customHeight="1">
      <c r="A13" s="17" t="n">
        <v>45809</v>
      </c>
      <c r="B13" s="18">
        <f>0.56795504+0.40914819</f>
        <v/>
      </c>
      <c r="C13" s="19">
        <f>IF(B13="","",B13*0.7)</f>
        <v/>
      </c>
      <c r="D13" s="20" t="n">
        <v>0.3</v>
      </c>
      <c r="E13" s="21" t="n">
        <v>0.24</v>
      </c>
      <c r="F13" s="21" t="n">
        <v>5.35</v>
      </c>
      <c r="G13" s="22" t="n"/>
      <c r="H13" s="22">
        <f>F13-F12</f>
        <v/>
      </c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</row>
    <row r="14" ht="11.25" customHeight="1">
      <c r="A14" s="17" t="n">
        <v>45839</v>
      </c>
      <c r="B14" s="18">
        <f>0.57858977+0.41680933</f>
        <v/>
      </c>
      <c r="C14" s="19">
        <f>IF(B14="","",B14*0.7)</f>
        <v/>
      </c>
      <c r="D14" s="20" t="n">
        <v>0.3</v>
      </c>
      <c r="E14" s="21" t="n">
        <v>0.26</v>
      </c>
      <c r="F14" s="21" t="n">
        <v>5.23</v>
      </c>
      <c r="G14" s="22" t="n"/>
      <c r="H14" s="22">
        <f>F14-F13</f>
        <v/>
      </c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</row>
    <row r="15" ht="11.25" customHeight="1">
      <c r="A15" s="17" t="n">
        <v>45870</v>
      </c>
      <c r="B15" s="18">
        <f>0.5770462+0.41569736</f>
        <v/>
      </c>
      <c r="C15" s="19">
        <f>IF(B15="","",B15*0.7)</f>
        <v/>
      </c>
      <c r="D15" s="20" t="n">
        <v>0.3</v>
      </c>
      <c r="E15" s="21" t="n">
        <v>-0.11</v>
      </c>
      <c r="F15" s="21" t="n">
        <v>5.13</v>
      </c>
      <c r="G15" s="22" t="n"/>
      <c r="H15" s="22">
        <f>F15-F14</f>
        <v/>
      </c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</row>
    <row r="16" ht="11.25" customHeight="1">
      <c r="A16" s="17" t="n">
        <v>45901</v>
      </c>
      <c r="B16" s="18">
        <f>0.57222222+0.41222222</f>
        <v/>
      </c>
      <c r="C16" s="19">
        <f>IF(B16="","",B16*0.7)</f>
        <v/>
      </c>
      <c r="D16" s="20" t="n">
        <v>0.3</v>
      </c>
      <c r="E16" s="21" t="n">
        <v>0.48</v>
      </c>
      <c r="F16" s="21" t="n">
        <v>5.17</v>
      </c>
      <c r="G16" s="22" t="n"/>
      <c r="H16" s="22">
        <f>F16-F15</f>
        <v/>
      </c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</row>
    <row r="17" ht="11.25" customHeight="1">
      <c r="A17" s="17" t="n">
        <v>45931</v>
      </c>
      <c r="B17" s="18">
        <f>0.57723099+0.41583048</f>
        <v/>
      </c>
      <c r="C17" s="19">
        <f>IF(B17="","",B17*0.7)</f>
        <v/>
      </c>
      <c r="D17" s="20" t="n">
        <v>0.3</v>
      </c>
      <c r="E17" s="21" t="n">
        <v>0.09</v>
      </c>
      <c r="F17" s="21" t="n">
        <v>4.68</v>
      </c>
      <c r="G17" s="22" t="n"/>
      <c r="H17" s="22">
        <f>F17-F16</f>
        <v/>
      </c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</row>
    <row r="18" ht="11.25" customHeight="1">
      <c r="A18" s="17" t="n">
        <v>45962</v>
      </c>
      <c r="B18" s="18">
        <f>0.58283035+0.41986419</f>
        <v/>
      </c>
      <c r="C18" s="19">
        <f>IF(B18="","",B18*0.7)</f>
        <v/>
      </c>
      <c r="D18" s="20" t="n">
        <v>0.3</v>
      </c>
      <c r="E18" s="21" t="n">
        <v>0.18</v>
      </c>
      <c r="F18" s="21" t="n">
        <v>4.46</v>
      </c>
      <c r="G18" s="22" t="n"/>
      <c r="H18" s="22">
        <f>F18-F17</f>
        <v/>
      </c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</row>
    <row r="19" ht="11.25" customHeight="1">
      <c r="A19" s="17" t="n">
        <v>45992</v>
      </c>
      <c r="B19" s="18">
        <f>0.58283035+0.41986419</f>
        <v/>
      </c>
      <c r="C19" s="19">
        <f>IF(B19="","",B19*0.7)</f>
        <v/>
      </c>
      <c r="D19" s="20" t="n">
        <v>0.3</v>
      </c>
      <c r="E19" s="21" t="n">
        <v>0.33</v>
      </c>
      <c r="F19" s="21" t="n">
        <v>4.26</v>
      </c>
      <c r="G19" s="22" t="n"/>
      <c r="H19" s="22">
        <f>F19-F18</f>
        <v/>
      </c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</row>
    <row r="20" ht="11.25" customHeight="1">
      <c r="A20" s="17" t="n">
        <v>46023</v>
      </c>
      <c r="B20" s="18">
        <f>0.5761854+0.41507725</f>
        <v/>
      </c>
      <c r="C20" s="19">
        <f>IF(B20="","",B20*0.7)</f>
        <v/>
      </c>
      <c r="D20" s="20" t="n">
        <v>0.3</v>
      </c>
      <c r="E20" s="21" t="n">
        <v>0.33</v>
      </c>
      <c r="F20" s="21" t="n">
        <v>4.44</v>
      </c>
      <c r="G20" s="22" t="n"/>
      <c r="H20" s="22">
        <f>F20-F19</f>
        <v/>
      </c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</row>
    <row r="21" ht="11.25" customHeight="1">
      <c r="A21" s="17" t="n">
        <v>46054</v>
      </c>
      <c r="B21" s="18">
        <f>0.57355748+0.41318413</f>
        <v/>
      </c>
      <c r="C21" s="19">
        <f>IF(B21="","",B21*0.7)</f>
        <v/>
      </c>
      <c r="D21" s="20" t="n">
        <v>0.3</v>
      </c>
      <c r="E21" s="21" t="n">
        <v>0.7</v>
      </c>
      <c r="F21" s="21" t="n">
        <v>3.81</v>
      </c>
      <c r="G21" s="22" t="n"/>
      <c r="H21" s="22">
        <f>F21-F20</f>
        <v/>
      </c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</row>
    <row r="22" ht="11.25" customHeight="1">
      <c r="A22" s="17" t="n">
        <v>46082</v>
      </c>
      <c r="B22" s="18">
        <f>0.57575596+0.41476788</f>
        <v/>
      </c>
      <c r="C22" s="19">
        <f>IF(B22="","",B22*0.7)</f>
        <v/>
      </c>
      <c r="D22" s="20" t="n">
        <v>0.3</v>
      </c>
      <c r="E22" s="21" t="n">
        <v>0.88</v>
      </c>
      <c r="F22" s="21" t="n">
        <v>4.14</v>
      </c>
      <c r="G22" s="22" t="n"/>
      <c r="H22" s="22">
        <f>F22-F21</f>
        <v/>
      </c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</row>
    <row r="23" ht="11.25" customHeight="1">
      <c r="A23" s="17" t="n">
        <v>46113</v>
      </c>
      <c r="B23" s="18">
        <f>0.57337503+0.41305269</f>
        <v/>
      </c>
      <c r="C23" s="19">
        <f>IF(B23="","",B23*0.7)</f>
        <v/>
      </c>
      <c r="D23" s="20" t="n">
        <v>0.3</v>
      </c>
      <c r="E23" s="21" t="n">
        <v>0.67</v>
      </c>
      <c r="F23" s="21" t="n">
        <v>4.39</v>
      </c>
      <c r="G23" s="22" t="n"/>
      <c r="H23" s="22">
        <f>F23-F22</f>
        <v/>
      </c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</row>
    <row r="24" ht="11.25" customHeight="1">
      <c r="A24" s="17" t="n">
        <v>46143</v>
      </c>
      <c r="B24" s="18">
        <f>0.6177727+0.40735685</f>
        <v/>
      </c>
      <c r="C24" s="19">
        <f>IF(B24="","",B24*0.7)</f>
        <v/>
      </c>
      <c r="D24" s="20" t="n">
        <v>0.3</v>
      </c>
      <c r="E24" s="21" t="n">
        <v>0.58</v>
      </c>
      <c r="F24" s="21" t="n">
        <v>4.72</v>
      </c>
      <c r="G24" s="22" t="n"/>
      <c r="H24" s="22">
        <f>F24-F23</f>
        <v/>
      </c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</row>
    <row r="25" ht="11.25" customHeight="1">
      <c r="A25" s="17" t="n">
        <v>46174</v>
      </c>
      <c r="B25" s="18">
        <f>0.64164094+0.39033734</f>
        <v/>
      </c>
      <c r="C25" s="19">
        <f>IF(B25="","",B25*0.7)</f>
        <v/>
      </c>
      <c r="D25" s="20" t="n">
        <v>0.3</v>
      </c>
      <c r="E25" s="21" t="n">
        <v>0.16</v>
      </c>
      <c r="F25" s="21" t="n">
        <v>4.64</v>
      </c>
      <c r="G25" s="22" t="n"/>
      <c r="H25" s="22">
        <f>F25-F24</f>
        <v/>
      </c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</row>
    <row r="26" ht="11.25" customHeight="1">
      <c r="A26" s="17" t="n">
        <v>46204</v>
      </c>
      <c r="B26" s="18">
        <f>0.64164094+0.39033734</f>
        <v/>
      </c>
      <c r="C26" s="19">
        <f>B26*0.7</f>
        <v/>
      </c>
      <c r="D26" s="20" t="n">
        <v>0.3</v>
      </c>
      <c r="E26" s="21" t="n">
        <v>0.07000000000000001</v>
      </c>
      <c r="F26" s="21" t="n">
        <v>4.44</v>
      </c>
      <c r="G26" s="22" t="n"/>
      <c r="H26" s="22">
        <f>F26-F25</f>
        <v/>
      </c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</row>
    <row r="27" ht="11.25" customHeight="1">
      <c r="A27" s="17" t="n">
        <v>46235</v>
      </c>
      <c r="B27" s="18" t="n">
        <v>1.0347311</v>
      </c>
      <c r="C27" s="19" t="n">
        <v>0.72431177</v>
      </c>
      <c r="D27" s="24" t="n">
        <v>0.3</v>
      </c>
      <c r="E27" s="25">
        <f>(B27-B26)/B26*100</f>
        <v/>
      </c>
      <c r="F27" s="25" t="n">
        <v>-0.32</v>
      </c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</row>
    <row r="28" ht="11.25" customHeight="1">
      <c r="A28" s="17" t="n">
        <v>46266</v>
      </c>
      <c r="B28" s="18" t="n">
        <v>1.04487662</v>
      </c>
      <c r="C28" s="19" t="n">
        <v>0.731413634</v>
      </c>
      <c r="D28" s="24" t="n">
        <v>0.3</v>
      </c>
      <c r="E28" s="25">
        <f>(B28-B27)/B27*100</f>
        <v/>
      </c>
      <c r="F28" s="25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</row>
    <row r="29" ht="11.25" customHeight="1">
      <c r="A29" s="17" t="n">
        <v>46296</v>
      </c>
      <c r="B29" s="18" t="n"/>
      <c r="C29" s="19">
        <f>IF(B29="","",B29*0.7)</f>
        <v/>
      </c>
      <c r="D29" s="24" t="n"/>
      <c r="E29" s="25" t="n"/>
      <c r="F29" s="25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</row>
    <row r="30" ht="11.25" customHeight="1">
      <c r="A30" s="17" t="n">
        <v>46327</v>
      </c>
      <c r="B30" s="18" t="n"/>
      <c r="C30" s="19">
        <f>IF(B30="","",B30*0.7)</f>
        <v/>
      </c>
      <c r="D30" s="24" t="n"/>
      <c r="E30" s="25" t="n"/>
      <c r="F30" s="25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</row>
    <row r="31" ht="11.25" customHeight="1">
      <c r="A31" s="17" t="n">
        <v>46357</v>
      </c>
      <c r="B31" s="18" t="n"/>
      <c r="C31" s="19">
        <f>IF(B31="","",B31*0.7)</f>
        <v/>
      </c>
      <c r="D31" s="24" t="n"/>
      <c r="E31" s="25" t="n"/>
      <c r="F31" s="25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</row>
    <row r="32" ht="11.25" customHeight="1">
      <c r="A32" s="17" t="n">
        <v>46388</v>
      </c>
      <c r="B32" s="18" t="n"/>
      <c r="C32" s="19">
        <f>IF(B32="","",B32*0.7)</f>
        <v/>
      </c>
      <c r="D32" s="24" t="n"/>
      <c r="E32" s="25" t="n"/>
      <c r="F32" s="25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</row>
    <row r="33" ht="11.25" customHeight="1">
      <c r="A33" s="17" t="n">
        <v>46419</v>
      </c>
      <c r="B33" s="18" t="n"/>
      <c r="C33" s="19">
        <f>IF(B33="","",B33*0.7)</f>
        <v/>
      </c>
      <c r="D33" s="24" t="n"/>
      <c r="E33" s="25" t="n"/>
      <c r="F33" s="25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</row>
    <row r="34" ht="11.25" customHeight="1">
      <c r="A34" s="17" t="n">
        <v>46447</v>
      </c>
      <c r="B34" s="18" t="n"/>
      <c r="C34" s="19">
        <f>IF(B34="","",B34*0.7)</f>
        <v/>
      </c>
      <c r="D34" s="24" t="n"/>
      <c r="E34" s="25" t="n"/>
      <c r="F34" s="25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</row>
    <row r="35" ht="11.25" customHeight="1">
      <c r="A35" s="17" t="n">
        <v>46478</v>
      </c>
      <c r="B35" s="18" t="n"/>
      <c r="C35" s="19">
        <f>IF(B35="","",B35*0.7)</f>
        <v/>
      </c>
      <c r="D35" s="24" t="n"/>
      <c r="E35" s="25" t="n"/>
      <c r="F35" s="25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</row>
    <row r="36" ht="11.25" customHeight="1">
      <c r="A36" s="17" t="n">
        <v>46508</v>
      </c>
      <c r="B36" s="18" t="n"/>
      <c r="C36" s="19">
        <f>IF(B36="","",B36*0.7)</f>
        <v/>
      </c>
      <c r="D36" s="24" t="n"/>
      <c r="E36" s="25" t="n"/>
      <c r="F36" s="25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</row>
    <row r="37" ht="11.25" customHeight="1">
      <c r="A37" s="17" t="n">
        <v>46539</v>
      </c>
      <c r="B37" s="18" t="n"/>
      <c r="C37" s="19">
        <f>IF(B37="","",B37*0.7)</f>
        <v/>
      </c>
      <c r="D37" s="24" t="n"/>
      <c r="E37" s="25" t="n"/>
      <c r="F37" s="25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</row>
    <row r="38" ht="11.25" customHeight="1">
      <c r="A38" s="17" t="n">
        <v>46569</v>
      </c>
      <c r="B38" s="18" t="n"/>
      <c r="C38" s="19">
        <f>IF(B38="","",B38*0.7)</f>
        <v/>
      </c>
      <c r="D38" s="24" t="n"/>
      <c r="E38" s="25" t="n"/>
      <c r="F38" s="25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</row>
    <row r="39" ht="11.25" customHeight="1">
      <c r="A39" s="17" t="n">
        <v>46600</v>
      </c>
      <c r="B39" s="18" t="n"/>
      <c r="C39" s="19">
        <f>IF(B39="","",B39*0.7)</f>
        <v/>
      </c>
      <c r="D39" s="24" t="n"/>
      <c r="E39" s="25" t="n"/>
      <c r="F39" s="25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</row>
    <row r="40" ht="11.25" customHeight="1">
      <c r="A40" s="17" t="n">
        <v>46631</v>
      </c>
      <c r="B40" s="18" t="n"/>
      <c r="C40" s="19">
        <f>IF(B40="","",B40*0.7)</f>
        <v/>
      </c>
      <c r="D40" s="24" t="n"/>
      <c r="E40" s="25" t="n"/>
      <c r="F40" s="25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</row>
    <row r="41" ht="11.25" customHeight="1">
      <c r="A41" s="17" t="n">
        <v>46661</v>
      </c>
      <c r="B41" s="18" t="n"/>
      <c r="C41" s="19">
        <f>IF(B41="","",B41*0.7)</f>
        <v/>
      </c>
      <c r="D41" s="24" t="n"/>
      <c r="E41" s="25" t="n"/>
      <c r="F41" s="25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</row>
    <row r="42" ht="11.25" customHeight="1">
      <c r="A42" s="17" t="n">
        <v>46692</v>
      </c>
      <c r="B42" s="18" t="n"/>
      <c r="C42" s="19">
        <f>IF(B42="","",B42*0.7)</f>
        <v/>
      </c>
      <c r="D42" s="24" t="n"/>
      <c r="E42" s="25" t="n"/>
      <c r="F42" s="25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</row>
    <row r="43" ht="11.25" customHeight="1">
      <c r="A43" s="17" t="n">
        <v>46722</v>
      </c>
      <c r="B43" s="18" t="n"/>
      <c r="C43" s="19">
        <f>IF(B43="","",B43*0.7)</f>
        <v/>
      </c>
      <c r="D43" s="24" t="n"/>
      <c r="E43" s="25" t="n"/>
      <c r="F43" s="25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</row>
    <row r="44" ht="11.25" customHeight="1">
      <c r="A44" s="17" t="n">
        <v>46753</v>
      </c>
      <c r="B44" s="18" t="n"/>
      <c r="C44" s="19">
        <f>IF(B44="","",B44*0.7)</f>
        <v/>
      </c>
      <c r="D44" s="24" t="n"/>
      <c r="E44" s="25" t="n"/>
      <c r="F44" s="25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</row>
    <row r="45" ht="11.25" customHeight="1">
      <c r="A45" s="17" t="n">
        <v>46784</v>
      </c>
      <c r="B45" s="18" t="n"/>
      <c r="C45" s="19">
        <f>IF(B45="","",B45*0.7)</f>
        <v/>
      </c>
      <c r="D45" s="24" t="n"/>
      <c r="E45" s="25" t="n"/>
      <c r="F45" s="25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</row>
    <row r="46" ht="11.25" customHeight="1">
      <c r="A46" s="17" t="n">
        <v>46813</v>
      </c>
      <c r="B46" s="18" t="n"/>
      <c r="C46" s="19">
        <f>IF(B46="","",B46*0.7)</f>
        <v/>
      </c>
      <c r="D46" s="24" t="n"/>
      <c r="E46" s="25" t="n"/>
      <c r="F46" s="25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</row>
    <row r="47" ht="11.25" customHeight="1">
      <c r="A47" s="17" t="n">
        <v>46844</v>
      </c>
      <c r="B47" s="18" t="n"/>
      <c r="C47" s="19">
        <f>IF(B47="","",B47*0.7)</f>
        <v/>
      </c>
      <c r="D47" s="24" t="n"/>
      <c r="E47" s="25" t="n"/>
      <c r="F47" s="25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</row>
    <row r="48" ht="11.25" customHeight="1">
      <c r="A48" s="17" t="n">
        <v>46874</v>
      </c>
      <c r="B48" s="18" t="n"/>
      <c r="C48" s="19">
        <f>IF(B48="","",B48*0.7)</f>
        <v/>
      </c>
      <c r="D48" s="24" t="n"/>
      <c r="E48" s="25" t="n"/>
      <c r="F48" s="25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</row>
    <row r="49" ht="11.25" customHeight="1">
      <c r="A49" s="17" t="n">
        <v>46905</v>
      </c>
      <c r="B49" s="18" t="n"/>
      <c r="C49" s="19">
        <f>IF(B49="","",B49*0.7)</f>
        <v/>
      </c>
      <c r="D49" s="24" t="n"/>
      <c r="E49" s="25" t="n"/>
      <c r="F49" s="25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</row>
    <row r="50" ht="11.25" customHeight="1">
      <c r="A50" s="17" t="n">
        <v>46935</v>
      </c>
      <c r="B50" s="18" t="n"/>
      <c r="C50" s="19">
        <f>IF(B50="","",B50*0.7)</f>
        <v/>
      </c>
      <c r="D50" s="24" t="n"/>
      <c r="E50" s="25" t="n"/>
      <c r="F50" s="25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</row>
    <row r="51" ht="11.25" customHeight="1">
      <c r="A51" s="17" t="n">
        <v>46966</v>
      </c>
      <c r="B51" s="18" t="n"/>
      <c r="C51" s="19">
        <f>IF(B51="","",B51*0.7)</f>
        <v/>
      </c>
      <c r="D51" s="24" t="n"/>
      <c r="E51" s="25" t="n"/>
      <c r="F51" s="25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</row>
    <row r="52" ht="11.25" customHeight="1">
      <c r="A52" s="17" t="n">
        <v>46997</v>
      </c>
      <c r="B52" s="18" t="n"/>
      <c r="C52" s="19">
        <f>IF(B52="","",B52*0.7)</f>
        <v/>
      </c>
      <c r="D52" s="24" t="n"/>
      <c r="E52" s="25" t="n"/>
      <c r="F52" s="25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</row>
    <row r="53" ht="11.25" customHeight="1">
      <c r="A53" s="17" t="n">
        <v>47027</v>
      </c>
      <c r="B53" s="18" t="n"/>
      <c r="C53" s="19">
        <f>IF(B53="","",B53*0.7)</f>
        <v/>
      </c>
      <c r="D53" s="24" t="n"/>
      <c r="E53" s="25" t="n"/>
      <c r="F53" s="25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</row>
    <row r="54" ht="11.25" customHeight="1">
      <c r="A54" s="17" t="n">
        <v>47058</v>
      </c>
      <c r="B54" s="18" t="n"/>
      <c r="C54" s="19">
        <f>IF(B54="","",B54*0.7)</f>
        <v/>
      </c>
      <c r="D54" s="24" t="n"/>
      <c r="E54" s="25" t="n"/>
      <c r="F54" s="25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</row>
    <row r="55" ht="11.25" customHeight="1">
      <c r="A55" s="17" t="n">
        <v>47088</v>
      </c>
      <c r="B55" s="18" t="n"/>
      <c r="C55" s="19">
        <f>IF(B55="","",B55*0.7)</f>
        <v/>
      </c>
      <c r="D55" s="24" t="n"/>
      <c r="E55" s="25" t="n"/>
      <c r="F55" s="25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</row>
    <row r="56" ht="11.25" customHeight="1">
      <c r="A56" s="22" t="n"/>
      <c r="B56" s="22" t="n"/>
      <c r="C56" s="22" t="n"/>
      <c r="D56" s="26" t="n"/>
      <c r="E56" s="27" t="n"/>
      <c r="F56" s="27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</row>
    <row r="57" ht="11.25" customHeight="1">
      <c r="A57" s="22" t="n"/>
      <c r="B57" s="22" t="n"/>
      <c r="C57" s="22" t="n"/>
      <c r="D57" s="26" t="n"/>
      <c r="E57" s="27" t="n"/>
      <c r="F57" s="27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</row>
    <row r="58" ht="11.25" customHeight="1">
      <c r="A58" s="22" t="n"/>
      <c r="B58" s="22" t="n"/>
      <c r="C58" s="22" t="n"/>
      <c r="D58" s="26" t="n"/>
      <c r="E58" s="27" t="n"/>
      <c r="F58" s="27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</row>
    <row r="59" ht="11.25" customHeight="1">
      <c r="A59" s="22" t="n"/>
      <c r="B59" s="22" t="n"/>
      <c r="C59" s="22" t="n"/>
      <c r="D59" s="26" t="n"/>
      <c r="E59" s="27" t="n"/>
      <c r="F59" s="27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</row>
    <row r="60" ht="11.25" customHeight="1">
      <c r="A60" s="22" t="n"/>
      <c r="B60" s="22" t="n"/>
      <c r="C60" s="22" t="n"/>
      <c r="D60" s="26" t="n"/>
      <c r="E60" s="27" t="n"/>
      <c r="F60" s="27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</row>
    <row r="61" ht="11.25" customHeight="1">
      <c r="A61" s="22" t="n"/>
      <c r="B61" s="22" t="n"/>
      <c r="C61" s="22" t="n"/>
      <c r="D61" s="26" t="n"/>
      <c r="E61" s="27" t="n"/>
      <c r="F61" s="27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</row>
    <row r="62" ht="11.25" customHeight="1">
      <c r="A62" s="22" t="n"/>
      <c r="B62" s="22" t="n"/>
      <c r="C62" s="22" t="n"/>
      <c r="D62" s="26" t="n"/>
      <c r="E62" s="27" t="n"/>
      <c r="F62" s="27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</row>
    <row r="63" ht="11.25" customHeight="1">
      <c r="A63" s="22" t="n"/>
      <c r="B63" s="22" t="n"/>
      <c r="C63" s="22" t="n"/>
      <c r="D63" s="26" t="n"/>
      <c r="E63" s="27" t="n"/>
      <c r="F63" s="27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</row>
    <row r="64" ht="11.25" customHeight="1">
      <c r="A64" s="22" t="n"/>
      <c r="B64" s="22" t="n"/>
      <c r="C64" s="22" t="n"/>
      <c r="D64" s="26" t="n"/>
      <c r="E64" s="27" t="n"/>
      <c r="F64" s="27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</row>
    <row r="65" ht="11.25" customHeight="1">
      <c r="A65" s="22" t="n"/>
      <c r="B65" s="22" t="n"/>
      <c r="C65" s="22" t="n"/>
      <c r="D65" s="26" t="n"/>
      <c r="E65" s="27" t="n"/>
      <c r="F65" s="27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</row>
    <row r="66" ht="11.25" customHeight="1">
      <c r="A66" s="22" t="n"/>
      <c r="B66" s="22" t="n"/>
      <c r="C66" s="22" t="n"/>
      <c r="D66" s="26" t="n"/>
      <c r="E66" s="27" t="n"/>
      <c r="F66" s="27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</row>
    <row r="67" ht="11.25" customHeight="1">
      <c r="A67" s="22" t="n"/>
      <c r="B67" s="22" t="n"/>
      <c r="C67" s="22" t="n"/>
      <c r="D67" s="26" t="n"/>
      <c r="E67" s="27" t="n"/>
      <c r="F67" s="27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</row>
    <row r="68" ht="11.25" customHeight="1">
      <c r="A68" s="22" t="n"/>
      <c r="B68" s="22" t="n"/>
      <c r="C68" s="22" t="n"/>
      <c r="D68" s="26" t="n"/>
      <c r="E68" s="27" t="n"/>
      <c r="F68" s="27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</row>
    <row r="69" ht="11.25" customHeight="1">
      <c r="A69" s="22" t="n"/>
      <c r="B69" s="22" t="n"/>
      <c r="C69" s="22" t="n"/>
      <c r="D69" s="26" t="n"/>
      <c r="E69" s="27" t="n"/>
      <c r="F69" s="27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</row>
    <row r="70" ht="11.25" customHeight="1">
      <c r="A70" s="22" t="n"/>
      <c r="B70" s="22" t="n"/>
      <c r="C70" s="22" t="n"/>
      <c r="D70" s="26" t="n"/>
      <c r="E70" s="27" t="n"/>
      <c r="F70" s="27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</row>
    <row r="71" ht="11.25" customHeight="1">
      <c r="A71" s="22" t="n"/>
      <c r="B71" s="22" t="n"/>
      <c r="C71" s="22" t="n"/>
      <c r="D71" s="26" t="n"/>
      <c r="E71" s="27" t="n"/>
      <c r="F71" s="27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</row>
    <row r="72" ht="11.25" customHeight="1">
      <c r="A72" s="22" t="n"/>
      <c r="B72" s="22" t="n"/>
      <c r="C72" s="22" t="n"/>
      <c r="D72" s="26" t="n"/>
      <c r="E72" s="27" t="n"/>
      <c r="F72" s="27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</row>
    <row r="73" ht="11.25" customHeight="1">
      <c r="A73" s="22" t="n"/>
      <c r="B73" s="22" t="n"/>
      <c r="C73" s="22" t="n"/>
      <c r="D73" s="26" t="n"/>
      <c r="E73" s="27" t="n"/>
      <c r="F73" s="27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</row>
    <row r="74" ht="11.25" customHeight="1">
      <c r="A74" s="22" t="n"/>
      <c r="B74" s="22" t="n"/>
      <c r="C74" s="22" t="n"/>
      <c r="D74" s="26" t="n"/>
      <c r="E74" s="27" t="n"/>
      <c r="F74" s="27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</row>
    <row r="75" ht="11.25" customHeight="1">
      <c r="A75" s="22" t="n"/>
      <c r="B75" s="22" t="n"/>
      <c r="C75" s="22" t="n"/>
      <c r="D75" s="26" t="n"/>
      <c r="E75" s="27" t="n"/>
      <c r="F75" s="27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</row>
    <row r="76" ht="11.25" customHeight="1">
      <c r="A76" s="22" t="n"/>
      <c r="B76" s="22" t="n"/>
      <c r="C76" s="22" t="n"/>
      <c r="D76" s="26" t="n"/>
      <c r="E76" s="27" t="n"/>
      <c r="F76" s="27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</row>
    <row r="77" ht="11.25" customHeight="1">
      <c r="A77" s="22" t="n"/>
      <c r="B77" s="22" t="n"/>
      <c r="C77" s="22" t="n"/>
      <c r="D77" s="26" t="n"/>
      <c r="E77" s="27" t="n"/>
      <c r="F77" s="27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</row>
    <row r="78" ht="11.25" customHeight="1">
      <c r="A78" s="22" t="n"/>
      <c r="B78" s="22" t="n"/>
      <c r="C78" s="22" t="n"/>
      <c r="D78" s="26" t="n"/>
      <c r="E78" s="27" t="n"/>
      <c r="F78" s="27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</row>
    <row r="79" ht="11.25" customHeight="1">
      <c r="A79" s="22" t="n"/>
      <c r="B79" s="22" t="n"/>
      <c r="C79" s="22" t="n"/>
      <c r="D79" s="26" t="n"/>
      <c r="E79" s="27" t="n"/>
      <c r="F79" s="27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</row>
    <row r="80" ht="11.25" customHeight="1">
      <c r="A80" s="22" t="n"/>
      <c r="B80" s="22" t="n"/>
      <c r="C80" s="22" t="n"/>
      <c r="D80" s="26" t="n"/>
      <c r="E80" s="27" t="n"/>
      <c r="F80" s="27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</row>
    <row r="81" ht="11.25" customHeight="1">
      <c r="A81" s="22" t="n"/>
      <c r="B81" s="22" t="n"/>
      <c r="C81" s="22" t="n"/>
      <c r="D81" s="26" t="n"/>
      <c r="E81" s="27" t="n"/>
      <c r="F81" s="27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</row>
    <row r="82" ht="11.25" customHeight="1">
      <c r="A82" s="22" t="n"/>
      <c r="B82" s="22" t="n"/>
      <c r="C82" s="22" t="n"/>
      <c r="D82" s="26" t="n"/>
      <c r="E82" s="27" t="n"/>
      <c r="F82" s="27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</row>
    <row r="83" ht="11.25" customHeight="1">
      <c r="A83" s="22" t="n"/>
      <c r="B83" s="22" t="n"/>
      <c r="C83" s="22" t="n"/>
      <c r="D83" s="26" t="n"/>
      <c r="E83" s="27" t="n"/>
      <c r="F83" s="27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</row>
    <row r="84" ht="11.25" customHeight="1">
      <c r="A84" s="22" t="n"/>
      <c r="B84" s="22" t="n"/>
      <c r="C84" s="22" t="n"/>
      <c r="D84" s="26" t="n"/>
      <c r="E84" s="27" t="n"/>
      <c r="F84" s="27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</row>
    <row r="85" ht="11.25" customHeight="1">
      <c r="A85" s="22" t="n"/>
      <c r="B85" s="22" t="n"/>
      <c r="C85" s="22" t="n"/>
      <c r="D85" s="26" t="n"/>
      <c r="E85" s="27" t="n"/>
      <c r="F85" s="27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</row>
    <row r="86" ht="11.25" customHeight="1">
      <c r="A86" s="22" t="n"/>
      <c r="B86" s="22" t="n"/>
      <c r="C86" s="22" t="n"/>
      <c r="D86" s="26" t="n"/>
      <c r="E86" s="27" t="n"/>
      <c r="F86" s="27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</row>
    <row r="87" ht="11.25" customHeight="1">
      <c r="A87" s="22" t="n"/>
      <c r="B87" s="22" t="n"/>
      <c r="C87" s="22" t="n"/>
      <c r="D87" s="26" t="n"/>
      <c r="E87" s="27" t="n"/>
      <c r="F87" s="27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</row>
    <row r="88" ht="11.25" customHeight="1">
      <c r="A88" s="22" t="n"/>
      <c r="B88" s="22" t="n"/>
      <c r="C88" s="22" t="n"/>
      <c r="D88" s="26" t="n"/>
      <c r="E88" s="27" t="n"/>
      <c r="F88" s="27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</row>
    <row r="89" ht="11.25" customHeight="1">
      <c r="A89" s="22" t="n"/>
      <c r="B89" s="22" t="n"/>
      <c r="C89" s="22" t="n"/>
      <c r="D89" s="26" t="n"/>
      <c r="E89" s="27" t="n"/>
      <c r="F89" s="27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</row>
    <row r="90" ht="11.25" customHeight="1">
      <c r="A90" s="22" t="n"/>
      <c r="B90" s="22" t="n"/>
      <c r="C90" s="22" t="n"/>
      <c r="D90" s="26" t="n"/>
      <c r="E90" s="27" t="n"/>
      <c r="F90" s="27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</row>
    <row r="91" ht="11.25" customHeight="1">
      <c r="A91" s="22" t="n"/>
      <c r="B91" s="22" t="n"/>
      <c r="C91" s="22" t="n"/>
      <c r="D91" s="26" t="n"/>
      <c r="E91" s="27" t="n"/>
      <c r="F91" s="27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</row>
    <row r="92" ht="11.25" customHeight="1">
      <c r="A92" s="22" t="n"/>
      <c r="B92" s="22" t="n"/>
      <c r="C92" s="22" t="n"/>
      <c r="D92" s="26" t="n"/>
      <c r="E92" s="27" t="n"/>
      <c r="F92" s="27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</row>
    <row r="93" ht="11.25" customHeight="1">
      <c r="A93" s="22" t="n"/>
      <c r="B93" s="22" t="n"/>
      <c r="C93" s="22" t="n"/>
      <c r="D93" s="26" t="n"/>
      <c r="E93" s="27" t="n"/>
      <c r="F93" s="27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</row>
    <row r="94" ht="11.25" customHeight="1">
      <c r="A94" s="22" t="n"/>
      <c r="B94" s="22" t="n"/>
      <c r="C94" s="22" t="n"/>
      <c r="D94" s="26" t="n"/>
      <c r="E94" s="27" t="n"/>
      <c r="F94" s="27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</row>
    <row r="95" ht="11.25" customHeight="1">
      <c r="A95" s="22" t="n"/>
      <c r="B95" s="22" t="n"/>
      <c r="C95" s="22" t="n"/>
      <c r="D95" s="26" t="n"/>
      <c r="E95" s="27" t="n"/>
      <c r="F95" s="27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</row>
    <row r="96" ht="11.25" customHeight="1">
      <c r="A96" s="22" t="n"/>
      <c r="B96" s="22" t="n"/>
      <c r="C96" s="22" t="n"/>
      <c r="D96" s="26" t="n"/>
      <c r="E96" s="27" t="n"/>
      <c r="F96" s="27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</row>
    <row r="97" ht="11.25" customHeight="1">
      <c r="A97" s="22" t="n"/>
      <c r="B97" s="22" t="n"/>
      <c r="C97" s="22" t="n"/>
      <c r="D97" s="26" t="n"/>
      <c r="E97" s="27" t="n"/>
      <c r="F97" s="27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</row>
    <row r="98" ht="11.25" customHeight="1">
      <c r="A98" s="22" t="n"/>
      <c r="B98" s="22" t="n"/>
      <c r="C98" s="22" t="n"/>
      <c r="D98" s="26" t="n"/>
      <c r="E98" s="27" t="n"/>
      <c r="F98" s="27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</row>
    <row r="99" ht="11.25" customHeight="1">
      <c r="A99" s="22" t="n"/>
      <c r="B99" s="22" t="n"/>
      <c r="C99" s="22" t="n"/>
      <c r="D99" s="26" t="n"/>
      <c r="E99" s="27" t="n"/>
      <c r="F99" s="27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</row>
    <row r="100" ht="11.25" customHeight="1">
      <c r="A100" s="22" t="n"/>
      <c r="B100" s="22" t="n"/>
      <c r="C100" s="22" t="n"/>
      <c r="D100" s="26" t="n"/>
      <c r="E100" s="27" t="n"/>
      <c r="F100" s="27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</row>
    <row r="101" ht="11.25" customHeight="1">
      <c r="A101" s="22" t="n"/>
      <c r="B101" s="22" t="n"/>
      <c r="C101" s="22" t="n"/>
      <c r="D101" s="26" t="n"/>
      <c r="E101" s="27" t="n"/>
      <c r="F101" s="27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</row>
    <row r="102" ht="11.25" customHeight="1">
      <c r="A102" s="22" t="n"/>
      <c r="B102" s="22" t="n"/>
      <c r="C102" s="22" t="n"/>
      <c r="D102" s="26" t="n"/>
      <c r="E102" s="27" t="n"/>
      <c r="F102" s="27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</row>
    <row r="103" ht="11.25" customHeight="1">
      <c r="A103" s="22" t="n"/>
      <c r="B103" s="22" t="n"/>
      <c r="C103" s="22" t="n"/>
      <c r="D103" s="26" t="n"/>
      <c r="E103" s="27" t="n"/>
      <c r="F103" s="27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</row>
    <row r="104" ht="11.25" customHeight="1">
      <c r="A104" s="22" t="n"/>
      <c r="B104" s="22" t="n"/>
      <c r="C104" s="22" t="n"/>
      <c r="D104" s="26" t="n"/>
      <c r="E104" s="27" t="n"/>
      <c r="F104" s="27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</row>
    <row r="105" ht="11.25" customHeight="1">
      <c r="A105" s="22" t="n"/>
      <c r="B105" s="22" t="n"/>
      <c r="C105" s="22" t="n"/>
      <c r="D105" s="26" t="n"/>
      <c r="E105" s="27" t="n"/>
      <c r="F105" s="27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</row>
    <row r="106" ht="11.25" customHeight="1">
      <c r="A106" s="22" t="n"/>
      <c r="B106" s="22" t="n"/>
      <c r="C106" s="22" t="n"/>
      <c r="D106" s="26" t="n"/>
      <c r="E106" s="27" t="n"/>
      <c r="F106" s="27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</row>
    <row r="107" ht="11.25" customHeight="1">
      <c r="A107" s="22" t="n"/>
      <c r="B107" s="22" t="n"/>
      <c r="C107" s="22" t="n"/>
      <c r="D107" s="26" t="n"/>
      <c r="E107" s="27" t="n"/>
      <c r="F107" s="27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</row>
    <row r="108" ht="11.25" customHeight="1">
      <c r="A108" s="22" t="n"/>
      <c r="B108" s="22" t="n"/>
      <c r="C108" s="22" t="n"/>
      <c r="D108" s="26" t="n"/>
      <c r="E108" s="27" t="n"/>
      <c r="F108" s="27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</row>
    <row r="109" ht="11.25" customHeight="1">
      <c r="A109" s="22" t="n"/>
      <c r="B109" s="22" t="n"/>
      <c r="C109" s="22" t="n"/>
      <c r="D109" s="26" t="n"/>
      <c r="E109" s="27" t="n"/>
      <c r="F109" s="27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</row>
    <row r="110" ht="11.25" customHeight="1">
      <c r="A110" s="22" t="n"/>
      <c r="B110" s="22" t="n"/>
      <c r="C110" s="22" t="n"/>
      <c r="D110" s="26" t="n"/>
      <c r="E110" s="27" t="n"/>
      <c r="F110" s="27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</row>
    <row r="111" ht="11.25" customHeight="1">
      <c r="A111" s="22" t="n"/>
      <c r="B111" s="22" t="n"/>
      <c r="C111" s="22" t="n"/>
      <c r="D111" s="26" t="n"/>
      <c r="E111" s="27" t="n"/>
      <c r="F111" s="27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</row>
    <row r="112" ht="11.25" customHeight="1">
      <c r="A112" s="22" t="n"/>
      <c r="B112" s="22" t="n"/>
      <c r="C112" s="22" t="n"/>
      <c r="D112" s="26" t="n"/>
      <c r="E112" s="27" t="n"/>
      <c r="F112" s="27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</row>
    <row r="113" ht="11.25" customHeight="1">
      <c r="A113" s="22" t="n"/>
      <c r="B113" s="22" t="n"/>
      <c r="C113" s="22" t="n"/>
      <c r="D113" s="26" t="n"/>
      <c r="E113" s="27" t="n"/>
      <c r="F113" s="27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</row>
    <row r="114" ht="11.25" customHeight="1">
      <c r="A114" s="22" t="n"/>
      <c r="B114" s="22" t="n"/>
      <c r="C114" s="22" t="n"/>
      <c r="D114" s="26" t="n"/>
      <c r="E114" s="27" t="n"/>
      <c r="F114" s="27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</row>
    <row r="115" ht="11.25" customHeight="1">
      <c r="A115" s="22" t="n"/>
      <c r="B115" s="22" t="n"/>
      <c r="C115" s="22" t="n"/>
      <c r="D115" s="26" t="n"/>
      <c r="E115" s="27" t="n"/>
      <c r="F115" s="27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</row>
    <row r="116" ht="11.25" customHeight="1">
      <c r="A116" s="22" t="n"/>
      <c r="B116" s="22" t="n"/>
      <c r="C116" s="22" t="n"/>
      <c r="D116" s="26" t="n"/>
      <c r="E116" s="27" t="n"/>
      <c r="F116" s="27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</row>
    <row r="117" ht="11.25" customHeight="1">
      <c r="A117" s="22" t="n"/>
      <c r="B117" s="22" t="n"/>
      <c r="C117" s="22" t="n"/>
      <c r="D117" s="26" t="n"/>
      <c r="E117" s="27" t="n"/>
      <c r="F117" s="27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</row>
    <row r="118" ht="11.25" customHeight="1">
      <c r="A118" s="22" t="n"/>
      <c r="B118" s="22" t="n"/>
      <c r="C118" s="22" t="n"/>
      <c r="D118" s="26" t="n"/>
      <c r="E118" s="27" t="n"/>
      <c r="F118" s="27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</row>
    <row r="119" ht="11.25" customHeight="1">
      <c r="A119" s="22" t="n"/>
      <c r="B119" s="22" t="n"/>
      <c r="C119" s="22" t="n"/>
      <c r="D119" s="26" t="n"/>
      <c r="E119" s="27" t="n"/>
      <c r="F119" s="27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</row>
    <row r="120" ht="11.25" customHeight="1">
      <c r="A120" s="22" t="n"/>
      <c r="B120" s="22" t="n"/>
      <c r="C120" s="22" t="n"/>
      <c r="D120" s="26" t="n"/>
      <c r="E120" s="27" t="n"/>
      <c r="F120" s="27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</row>
    <row r="121" ht="11.25" customHeight="1">
      <c r="A121" s="22" t="n"/>
      <c r="B121" s="22" t="n"/>
      <c r="C121" s="22" t="n"/>
      <c r="D121" s="26" t="n"/>
      <c r="E121" s="27" t="n"/>
      <c r="F121" s="27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</row>
    <row r="122" ht="11.25" customHeight="1">
      <c r="A122" s="22" t="n"/>
      <c r="B122" s="22" t="n"/>
      <c r="C122" s="22" t="n"/>
      <c r="D122" s="26" t="n"/>
      <c r="E122" s="27" t="n"/>
      <c r="F122" s="27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</row>
    <row r="123" ht="11.25" customHeight="1">
      <c r="A123" s="22" t="n"/>
      <c r="B123" s="22" t="n"/>
      <c r="C123" s="22" t="n"/>
      <c r="D123" s="26" t="n"/>
      <c r="E123" s="27" t="n"/>
      <c r="F123" s="27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</row>
    <row r="124" ht="11.25" customHeight="1">
      <c r="A124" s="22" t="n"/>
      <c r="B124" s="22" t="n"/>
      <c r="C124" s="22" t="n"/>
      <c r="D124" s="26" t="n"/>
      <c r="E124" s="27" t="n"/>
      <c r="F124" s="27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</row>
    <row r="125" ht="11.25" customHeight="1">
      <c r="A125" s="22" t="n"/>
      <c r="B125" s="22" t="n"/>
      <c r="C125" s="22" t="n"/>
      <c r="D125" s="26" t="n"/>
      <c r="E125" s="27" t="n"/>
      <c r="F125" s="27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</row>
    <row r="126" ht="11.25" customHeight="1">
      <c r="A126" s="22" t="n"/>
      <c r="B126" s="22" t="n"/>
      <c r="C126" s="22" t="n"/>
      <c r="D126" s="26" t="n"/>
      <c r="E126" s="27" t="n"/>
      <c r="F126" s="27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</row>
    <row r="127" ht="11.25" customHeight="1">
      <c r="A127" s="22" t="n"/>
      <c r="B127" s="22" t="n"/>
      <c r="C127" s="22" t="n"/>
      <c r="D127" s="26" t="n"/>
      <c r="E127" s="27" t="n"/>
      <c r="F127" s="27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</row>
    <row r="128" ht="11.25" customHeight="1">
      <c r="A128" s="22" t="n"/>
      <c r="B128" s="22" t="n"/>
      <c r="C128" s="22" t="n"/>
      <c r="D128" s="26" t="n"/>
      <c r="E128" s="27" t="n"/>
      <c r="F128" s="27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</row>
    <row r="129" ht="11.25" customHeight="1">
      <c r="A129" s="22" t="n"/>
      <c r="B129" s="22" t="n"/>
      <c r="C129" s="22" t="n"/>
      <c r="D129" s="26" t="n"/>
      <c r="E129" s="27" t="n"/>
      <c r="F129" s="27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</row>
    <row r="130" ht="11.25" customHeight="1">
      <c r="A130" s="22" t="n"/>
      <c r="B130" s="22" t="n"/>
      <c r="C130" s="22" t="n"/>
      <c r="D130" s="26" t="n"/>
      <c r="E130" s="27" t="n"/>
      <c r="F130" s="27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</row>
    <row r="131" ht="11.25" customHeight="1">
      <c r="A131" s="22" t="n"/>
      <c r="B131" s="22" t="n"/>
      <c r="C131" s="22" t="n"/>
      <c r="D131" s="26" t="n"/>
      <c r="E131" s="27" t="n"/>
      <c r="F131" s="27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</row>
    <row r="132" ht="11.25" customHeight="1">
      <c r="A132" s="22" t="n"/>
      <c r="B132" s="22" t="n"/>
      <c r="C132" s="22" t="n"/>
      <c r="D132" s="26" t="n"/>
      <c r="E132" s="27" t="n"/>
      <c r="F132" s="27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</row>
    <row r="133" ht="11.25" customHeight="1">
      <c r="A133" s="22" t="n"/>
      <c r="B133" s="22" t="n"/>
      <c r="C133" s="22" t="n"/>
      <c r="D133" s="26" t="n"/>
      <c r="E133" s="27" t="n"/>
      <c r="F133" s="27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</row>
    <row r="134" ht="11.25" customHeight="1">
      <c r="A134" s="22" t="n"/>
      <c r="B134" s="22" t="n"/>
      <c r="C134" s="22" t="n"/>
      <c r="D134" s="26" t="n"/>
      <c r="E134" s="27" t="n"/>
      <c r="F134" s="27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</row>
    <row r="135" ht="11.25" customHeight="1">
      <c r="A135" s="22" t="n"/>
      <c r="B135" s="22" t="n"/>
      <c r="C135" s="22" t="n"/>
      <c r="D135" s="26" t="n"/>
      <c r="E135" s="27" t="n"/>
      <c r="F135" s="27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</row>
    <row r="136" ht="11.25" customHeight="1">
      <c r="A136" s="22" t="n"/>
      <c r="B136" s="22" t="n"/>
      <c r="C136" s="22" t="n"/>
      <c r="D136" s="26" t="n"/>
      <c r="E136" s="27" t="n"/>
      <c r="F136" s="27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</row>
    <row r="137" ht="11.25" customHeight="1">
      <c r="A137" s="22" t="n"/>
      <c r="B137" s="22" t="n"/>
      <c r="C137" s="22" t="n"/>
      <c r="D137" s="26" t="n"/>
      <c r="E137" s="27" t="n"/>
      <c r="F137" s="27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</row>
    <row r="138" ht="11.25" customHeight="1">
      <c r="A138" s="22" t="n"/>
      <c r="B138" s="22" t="n"/>
      <c r="C138" s="22" t="n"/>
      <c r="D138" s="26" t="n"/>
      <c r="E138" s="27" t="n"/>
      <c r="F138" s="27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</row>
    <row r="139" ht="11.25" customHeight="1">
      <c r="A139" s="22" t="n"/>
      <c r="B139" s="22" t="n"/>
      <c r="C139" s="22" t="n"/>
      <c r="D139" s="26" t="n"/>
      <c r="E139" s="27" t="n"/>
      <c r="F139" s="27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</row>
    <row r="140" ht="11.25" customHeight="1">
      <c r="A140" s="22" t="n"/>
      <c r="B140" s="22" t="n"/>
      <c r="C140" s="22" t="n"/>
      <c r="D140" s="26" t="n"/>
      <c r="E140" s="27" t="n"/>
      <c r="F140" s="27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</row>
    <row r="141" ht="11.25" customHeight="1">
      <c r="A141" s="22" t="n"/>
      <c r="B141" s="22" t="n"/>
      <c r="C141" s="22" t="n"/>
      <c r="D141" s="26" t="n"/>
      <c r="E141" s="27" t="n"/>
      <c r="F141" s="27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</row>
    <row r="142" ht="11.25" customHeight="1">
      <c r="A142" s="22" t="n"/>
      <c r="B142" s="22" t="n"/>
      <c r="C142" s="22" t="n"/>
      <c r="D142" s="26" t="n"/>
      <c r="E142" s="27" t="n"/>
      <c r="F142" s="27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</row>
    <row r="143" ht="11.25" customHeight="1">
      <c r="A143" s="22" t="n"/>
      <c r="B143" s="22" t="n"/>
      <c r="C143" s="22" t="n"/>
      <c r="D143" s="26" t="n"/>
      <c r="E143" s="27" t="n"/>
      <c r="F143" s="27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</row>
    <row r="144" ht="11.25" customHeight="1">
      <c r="A144" s="22" t="n"/>
      <c r="B144" s="22" t="n"/>
      <c r="C144" s="22" t="n"/>
      <c r="D144" s="26" t="n"/>
      <c r="E144" s="27" t="n"/>
      <c r="F144" s="27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</row>
    <row r="145" ht="11.25" customHeight="1">
      <c r="A145" s="22" t="n"/>
      <c r="B145" s="22" t="n"/>
      <c r="C145" s="22" t="n"/>
      <c r="D145" s="26" t="n"/>
      <c r="E145" s="27" t="n"/>
      <c r="F145" s="27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</row>
    <row r="146" ht="11.25" customHeight="1">
      <c r="A146" s="22" t="n"/>
      <c r="B146" s="22" t="n"/>
      <c r="C146" s="22" t="n"/>
      <c r="D146" s="26" t="n"/>
      <c r="E146" s="27" t="n"/>
      <c r="F146" s="27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</row>
    <row r="147" ht="11.25" customHeight="1">
      <c r="A147" s="22" t="n"/>
      <c r="B147" s="22" t="n"/>
      <c r="C147" s="22" t="n"/>
      <c r="D147" s="26" t="n"/>
      <c r="E147" s="27" t="n"/>
      <c r="F147" s="27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</row>
    <row r="148" ht="11.25" customHeight="1">
      <c r="A148" s="22" t="n"/>
      <c r="B148" s="22" t="n"/>
      <c r="C148" s="22" t="n"/>
      <c r="D148" s="26" t="n"/>
      <c r="E148" s="27" t="n"/>
      <c r="F148" s="27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</row>
    <row r="149" ht="11.25" customHeight="1">
      <c r="A149" s="22" t="n"/>
      <c r="B149" s="22" t="n"/>
      <c r="C149" s="22" t="n"/>
      <c r="D149" s="26" t="n"/>
      <c r="E149" s="27" t="n"/>
      <c r="F149" s="27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</row>
    <row r="150" ht="11.25" customHeight="1">
      <c r="A150" s="22" t="n"/>
      <c r="B150" s="22" t="n"/>
      <c r="C150" s="22" t="n"/>
      <c r="D150" s="26" t="n"/>
      <c r="E150" s="27" t="n"/>
      <c r="F150" s="27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</row>
    <row r="151" ht="11.25" customHeight="1">
      <c r="A151" s="22" t="n"/>
      <c r="B151" s="22" t="n"/>
      <c r="C151" s="22" t="n"/>
      <c r="D151" s="26" t="n"/>
      <c r="E151" s="27" t="n"/>
      <c r="F151" s="27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</row>
    <row r="152" ht="11.25" customHeight="1">
      <c r="A152" s="22" t="n"/>
      <c r="B152" s="22" t="n"/>
      <c r="C152" s="22" t="n"/>
      <c r="D152" s="26" t="n"/>
      <c r="E152" s="27" t="n"/>
      <c r="F152" s="27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</row>
    <row r="153" ht="11.25" customHeight="1">
      <c r="A153" s="22" t="n"/>
      <c r="B153" s="22" t="n"/>
      <c r="C153" s="22" t="n"/>
      <c r="D153" s="26" t="n"/>
      <c r="E153" s="27" t="n"/>
      <c r="F153" s="27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</row>
    <row r="154" ht="11.25" customHeight="1">
      <c r="A154" s="22" t="n"/>
      <c r="B154" s="22" t="n"/>
      <c r="C154" s="22" t="n"/>
      <c r="D154" s="26" t="n"/>
      <c r="E154" s="27" t="n"/>
      <c r="F154" s="27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</row>
    <row r="155" ht="11.25" customHeight="1">
      <c r="A155" s="22" t="n"/>
      <c r="B155" s="22" t="n"/>
      <c r="C155" s="22" t="n"/>
      <c r="D155" s="26" t="n"/>
      <c r="E155" s="27" t="n"/>
      <c r="F155" s="27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</row>
    <row r="156" ht="11.25" customHeight="1">
      <c r="A156" s="22" t="n"/>
      <c r="B156" s="22" t="n"/>
      <c r="C156" s="22" t="n"/>
      <c r="D156" s="26" t="n"/>
      <c r="E156" s="27" t="n"/>
      <c r="F156" s="27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</row>
    <row r="157" ht="11.25" customHeight="1">
      <c r="A157" s="22" t="n"/>
      <c r="B157" s="22" t="n"/>
      <c r="C157" s="22" t="n"/>
      <c r="D157" s="26" t="n"/>
      <c r="E157" s="27" t="n"/>
      <c r="F157" s="27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</row>
    <row r="158" ht="11.25" customHeight="1">
      <c r="A158" s="22" t="n"/>
      <c r="B158" s="22" t="n"/>
      <c r="C158" s="22" t="n"/>
      <c r="D158" s="26" t="n"/>
      <c r="E158" s="27" t="n"/>
      <c r="F158" s="27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</row>
    <row r="159" ht="11.25" customHeight="1">
      <c r="A159" s="22" t="n"/>
      <c r="B159" s="22" t="n"/>
      <c r="C159" s="22" t="n"/>
      <c r="D159" s="26" t="n"/>
      <c r="E159" s="27" t="n"/>
      <c r="F159" s="27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</row>
    <row r="160" ht="11.25" customHeight="1">
      <c r="A160" s="22" t="n"/>
      <c r="B160" s="22" t="n"/>
      <c r="C160" s="22" t="n"/>
      <c r="D160" s="26" t="n"/>
      <c r="E160" s="27" t="n"/>
      <c r="F160" s="27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</row>
    <row r="161" ht="11.25" customHeight="1">
      <c r="A161" s="22" t="n"/>
      <c r="B161" s="22" t="n"/>
      <c r="C161" s="22" t="n"/>
      <c r="D161" s="26" t="n"/>
      <c r="E161" s="27" t="n"/>
      <c r="F161" s="27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</row>
    <row r="162" ht="11.25" customHeight="1">
      <c r="A162" s="22" t="n"/>
      <c r="B162" s="22" t="n"/>
      <c r="C162" s="22" t="n"/>
      <c r="D162" s="26" t="n"/>
      <c r="E162" s="27" t="n"/>
      <c r="F162" s="27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</row>
    <row r="163" ht="11.25" customHeight="1">
      <c r="A163" s="22" t="n"/>
      <c r="B163" s="22" t="n"/>
      <c r="C163" s="22" t="n"/>
      <c r="D163" s="26" t="n"/>
      <c r="E163" s="27" t="n"/>
      <c r="F163" s="27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</row>
    <row r="164" ht="11.25" customHeight="1">
      <c r="A164" s="22" t="n"/>
      <c r="B164" s="22" t="n"/>
      <c r="C164" s="22" t="n"/>
      <c r="D164" s="26" t="n"/>
      <c r="E164" s="27" t="n"/>
      <c r="F164" s="27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</row>
    <row r="165" ht="11.25" customHeight="1">
      <c r="A165" s="22" t="n"/>
      <c r="B165" s="22" t="n"/>
      <c r="C165" s="22" t="n"/>
      <c r="D165" s="26" t="n"/>
      <c r="E165" s="27" t="n"/>
      <c r="F165" s="27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</row>
    <row r="166" ht="11.25" customHeight="1">
      <c r="A166" s="22" t="n"/>
      <c r="B166" s="22" t="n"/>
      <c r="C166" s="22" t="n"/>
      <c r="D166" s="26" t="n"/>
      <c r="E166" s="27" t="n"/>
      <c r="F166" s="27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</row>
    <row r="167" ht="11.25" customHeight="1">
      <c r="A167" s="22" t="n"/>
      <c r="B167" s="22" t="n"/>
      <c r="C167" s="22" t="n"/>
      <c r="D167" s="26" t="n"/>
      <c r="E167" s="27" t="n"/>
      <c r="F167" s="27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</row>
    <row r="168" ht="11.25" customHeight="1">
      <c r="A168" s="22" t="n"/>
      <c r="B168" s="22" t="n"/>
      <c r="C168" s="22" t="n"/>
      <c r="D168" s="26" t="n"/>
      <c r="E168" s="27" t="n"/>
      <c r="F168" s="27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</row>
    <row r="169" ht="11.25" customHeight="1">
      <c r="A169" s="22" t="n"/>
      <c r="B169" s="22" t="n"/>
      <c r="C169" s="22" t="n"/>
      <c r="D169" s="26" t="n"/>
      <c r="E169" s="27" t="n"/>
      <c r="F169" s="27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</row>
    <row r="170" ht="11.25" customHeight="1">
      <c r="A170" s="22" t="n"/>
      <c r="B170" s="22" t="n"/>
      <c r="C170" s="22" t="n"/>
      <c r="D170" s="26" t="n"/>
      <c r="E170" s="27" t="n"/>
      <c r="F170" s="27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</row>
    <row r="171" ht="11.25" customHeight="1">
      <c r="A171" s="22" t="n"/>
      <c r="B171" s="22" t="n"/>
      <c r="C171" s="22" t="n"/>
      <c r="D171" s="26" t="n"/>
      <c r="E171" s="27" t="n"/>
      <c r="F171" s="27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</row>
    <row r="172" ht="11.25" customHeight="1">
      <c r="A172" s="22" t="n"/>
      <c r="B172" s="22" t="n"/>
      <c r="C172" s="22" t="n"/>
      <c r="D172" s="26" t="n"/>
      <c r="E172" s="27" t="n"/>
      <c r="F172" s="27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</row>
    <row r="173" ht="11.25" customHeight="1">
      <c r="A173" s="22" t="n"/>
      <c r="B173" s="22" t="n"/>
      <c r="C173" s="22" t="n"/>
      <c r="D173" s="26" t="n"/>
      <c r="E173" s="27" t="n"/>
      <c r="F173" s="27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</row>
    <row r="174" ht="11.25" customHeight="1">
      <c r="A174" s="22" t="n"/>
      <c r="B174" s="22" t="n"/>
      <c r="C174" s="22" t="n"/>
      <c r="D174" s="26" t="n"/>
      <c r="E174" s="27" t="n"/>
      <c r="F174" s="27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</row>
    <row r="175" ht="11.25" customHeight="1">
      <c r="A175" s="22" t="n"/>
      <c r="B175" s="22" t="n"/>
      <c r="C175" s="22" t="n"/>
      <c r="D175" s="26" t="n"/>
      <c r="E175" s="27" t="n"/>
      <c r="F175" s="27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</row>
    <row r="176" ht="11.25" customHeight="1">
      <c r="A176" s="22" t="n"/>
      <c r="B176" s="22" t="n"/>
      <c r="C176" s="22" t="n"/>
      <c r="D176" s="26" t="n"/>
      <c r="E176" s="27" t="n"/>
      <c r="F176" s="27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</row>
    <row r="177" ht="11.25" customHeight="1">
      <c r="A177" s="22" t="n"/>
      <c r="B177" s="22" t="n"/>
      <c r="C177" s="22" t="n"/>
      <c r="D177" s="26" t="n"/>
      <c r="E177" s="27" t="n"/>
      <c r="F177" s="27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</row>
    <row r="178" ht="11.25" customHeight="1">
      <c r="A178" s="22" t="n"/>
      <c r="B178" s="22" t="n"/>
      <c r="C178" s="22" t="n"/>
      <c r="D178" s="26" t="n"/>
      <c r="E178" s="27" t="n"/>
      <c r="F178" s="27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</row>
    <row r="179" ht="11.25" customHeight="1">
      <c r="A179" s="22" t="n"/>
      <c r="B179" s="22" t="n"/>
      <c r="C179" s="22" t="n"/>
      <c r="D179" s="26" t="n"/>
      <c r="E179" s="27" t="n"/>
      <c r="F179" s="27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</row>
    <row r="180" ht="11.25" customHeight="1">
      <c r="A180" s="22" t="n"/>
      <c r="B180" s="22" t="n"/>
      <c r="C180" s="22" t="n"/>
      <c r="D180" s="26" t="n"/>
      <c r="E180" s="27" t="n"/>
      <c r="F180" s="27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</row>
    <row r="181" ht="11.25" customHeight="1">
      <c r="A181" s="22" t="n"/>
      <c r="B181" s="22" t="n"/>
      <c r="C181" s="22" t="n"/>
      <c r="D181" s="26" t="n"/>
      <c r="E181" s="27" t="n"/>
      <c r="F181" s="27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</row>
    <row r="182" ht="11.25" customHeight="1">
      <c r="A182" s="22" t="n"/>
      <c r="B182" s="22" t="n"/>
      <c r="C182" s="22" t="n"/>
      <c r="D182" s="26" t="n"/>
      <c r="E182" s="27" t="n"/>
      <c r="F182" s="27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</row>
    <row r="183" ht="11.25" customHeight="1">
      <c r="A183" s="22" t="n"/>
      <c r="B183" s="22" t="n"/>
      <c r="C183" s="22" t="n"/>
      <c r="D183" s="26" t="n"/>
      <c r="E183" s="27" t="n"/>
      <c r="F183" s="27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</row>
    <row r="184" ht="11.25" customHeight="1">
      <c r="A184" s="22" t="n"/>
      <c r="B184" s="22" t="n"/>
      <c r="C184" s="22" t="n"/>
      <c r="D184" s="26" t="n"/>
      <c r="E184" s="27" t="n"/>
      <c r="F184" s="27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</row>
    <row r="185" ht="11.25" customHeight="1">
      <c r="A185" s="22" t="n"/>
      <c r="B185" s="22" t="n"/>
      <c r="C185" s="22" t="n"/>
      <c r="D185" s="26" t="n"/>
      <c r="E185" s="27" t="n"/>
      <c r="F185" s="27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</row>
    <row r="186" ht="11.25" customHeight="1">
      <c r="A186" s="22" t="n"/>
      <c r="B186" s="22" t="n"/>
      <c r="C186" s="22" t="n"/>
      <c r="D186" s="26" t="n"/>
      <c r="E186" s="27" t="n"/>
      <c r="F186" s="27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</row>
    <row r="187" ht="11.25" customHeight="1">
      <c r="A187" s="22" t="n"/>
      <c r="B187" s="22" t="n"/>
      <c r="C187" s="22" t="n"/>
      <c r="D187" s="26" t="n"/>
      <c r="E187" s="27" t="n"/>
      <c r="F187" s="27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</row>
    <row r="188" ht="11.25" customHeight="1">
      <c r="A188" s="22" t="n"/>
      <c r="B188" s="22" t="n"/>
      <c r="C188" s="22" t="n"/>
      <c r="D188" s="26" t="n"/>
      <c r="E188" s="27" t="n"/>
      <c r="F188" s="27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</row>
    <row r="189" ht="11.25" customHeight="1">
      <c r="A189" s="22" t="n"/>
      <c r="B189" s="22" t="n"/>
      <c r="C189" s="22" t="n"/>
      <c r="D189" s="26" t="n"/>
      <c r="E189" s="27" t="n"/>
      <c r="F189" s="27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</row>
    <row r="190" ht="11.25" customHeight="1">
      <c r="A190" s="22" t="n"/>
      <c r="B190" s="22" t="n"/>
      <c r="C190" s="22" t="n"/>
      <c r="D190" s="26" t="n"/>
      <c r="E190" s="27" t="n"/>
      <c r="F190" s="27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</row>
    <row r="191" ht="11.25" customHeight="1">
      <c r="A191" s="22" t="n"/>
      <c r="B191" s="22" t="n"/>
      <c r="C191" s="22" t="n"/>
      <c r="D191" s="26" t="n"/>
      <c r="E191" s="27" t="n"/>
      <c r="F191" s="27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</row>
    <row r="192" ht="11.25" customHeight="1">
      <c r="A192" s="22" t="n"/>
      <c r="B192" s="22" t="n"/>
      <c r="C192" s="22" t="n"/>
      <c r="D192" s="26" t="n"/>
      <c r="E192" s="27" t="n"/>
      <c r="F192" s="27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</row>
    <row r="193" ht="11.25" customHeight="1">
      <c r="A193" s="22" t="n"/>
      <c r="B193" s="22" t="n"/>
      <c r="C193" s="22" t="n"/>
      <c r="D193" s="26" t="n"/>
      <c r="E193" s="27" t="n"/>
      <c r="F193" s="27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</row>
    <row r="194" ht="11.25" customHeight="1">
      <c r="A194" s="22" t="n"/>
      <c r="B194" s="22" t="n"/>
      <c r="C194" s="22" t="n"/>
      <c r="D194" s="26" t="n"/>
      <c r="E194" s="27" t="n"/>
      <c r="F194" s="27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</row>
    <row r="195" ht="11.25" customHeight="1">
      <c r="A195" s="22" t="n"/>
      <c r="B195" s="22" t="n"/>
      <c r="C195" s="22" t="n"/>
      <c r="D195" s="26" t="n"/>
      <c r="E195" s="27" t="n"/>
      <c r="F195" s="27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</row>
    <row r="196" ht="11.25" customHeight="1">
      <c r="A196" s="22" t="n"/>
      <c r="B196" s="22" t="n"/>
      <c r="C196" s="22" t="n"/>
      <c r="D196" s="26" t="n"/>
      <c r="E196" s="27" t="n"/>
      <c r="F196" s="27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</row>
    <row r="197" ht="11.25" customHeight="1">
      <c r="A197" s="22" t="n"/>
      <c r="B197" s="22" t="n"/>
      <c r="C197" s="22" t="n"/>
      <c r="D197" s="26" t="n"/>
      <c r="E197" s="27" t="n"/>
      <c r="F197" s="27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</row>
    <row r="198" ht="11.25" customHeight="1">
      <c r="A198" s="22" t="n"/>
      <c r="B198" s="22" t="n"/>
      <c r="C198" s="22" t="n"/>
      <c r="D198" s="26" t="n"/>
      <c r="E198" s="27" t="n"/>
      <c r="F198" s="27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</row>
    <row r="199" ht="11.25" customHeight="1">
      <c r="A199" s="22" t="n"/>
      <c r="B199" s="22" t="n"/>
      <c r="C199" s="22" t="n"/>
      <c r="D199" s="26" t="n"/>
      <c r="E199" s="27" t="n"/>
      <c r="F199" s="27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</row>
    <row r="200" ht="11.25" customHeight="1">
      <c r="A200" s="22" t="n"/>
      <c r="B200" s="22" t="n"/>
      <c r="C200" s="22" t="n"/>
      <c r="D200" s="26" t="n"/>
      <c r="E200" s="27" t="n"/>
      <c r="F200" s="27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</row>
    <row r="201" ht="11.25" customHeight="1">
      <c r="A201" s="22" t="n"/>
      <c r="B201" s="22" t="n"/>
      <c r="C201" s="22" t="n"/>
      <c r="D201" s="26" t="n"/>
      <c r="E201" s="27" t="n"/>
      <c r="F201" s="27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</row>
    <row r="202" ht="11.25" customHeight="1">
      <c r="A202" s="22" t="n"/>
      <c r="B202" s="22" t="n"/>
      <c r="C202" s="22" t="n"/>
      <c r="D202" s="26" t="n"/>
      <c r="E202" s="27" t="n"/>
      <c r="F202" s="27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</row>
    <row r="203" ht="11.25" customHeight="1">
      <c r="A203" s="22" t="n"/>
      <c r="B203" s="22" t="n"/>
      <c r="C203" s="22" t="n"/>
      <c r="D203" s="26" t="n"/>
      <c r="E203" s="27" t="n"/>
      <c r="F203" s="27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</row>
    <row r="204" ht="11.25" customHeight="1">
      <c r="A204" s="22" t="n"/>
      <c r="B204" s="22" t="n"/>
      <c r="C204" s="22" t="n"/>
      <c r="D204" s="26" t="n"/>
      <c r="E204" s="27" t="n"/>
      <c r="F204" s="27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</row>
    <row r="205" ht="11.25" customHeight="1">
      <c r="A205" s="22" t="n"/>
      <c r="B205" s="22" t="n"/>
      <c r="C205" s="22" t="n"/>
      <c r="D205" s="26" t="n"/>
      <c r="E205" s="27" t="n"/>
      <c r="F205" s="27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</row>
    <row r="206" ht="11.25" customHeight="1">
      <c r="A206" s="22" t="n"/>
      <c r="B206" s="22" t="n"/>
      <c r="C206" s="22" t="n"/>
      <c r="D206" s="26" t="n"/>
      <c r="E206" s="27" t="n"/>
      <c r="F206" s="27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</row>
    <row r="207" ht="11.25" customHeight="1">
      <c r="A207" s="22" t="n"/>
      <c r="B207" s="22" t="n"/>
      <c r="C207" s="22" t="n"/>
      <c r="D207" s="26" t="n"/>
      <c r="E207" s="27" t="n"/>
      <c r="F207" s="27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</row>
    <row r="208" ht="11.25" customHeight="1">
      <c r="A208" s="22" t="n"/>
      <c r="B208" s="22" t="n"/>
      <c r="C208" s="22" t="n"/>
      <c r="D208" s="26" t="n"/>
      <c r="E208" s="27" t="n"/>
      <c r="F208" s="27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</row>
    <row r="209" ht="11.25" customHeight="1">
      <c r="A209" s="22" t="n"/>
      <c r="B209" s="22" t="n"/>
      <c r="C209" s="22" t="n"/>
      <c r="D209" s="26" t="n"/>
      <c r="E209" s="27" t="n"/>
      <c r="F209" s="27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</row>
    <row r="210" ht="11.25" customHeight="1">
      <c r="A210" s="22" t="n"/>
      <c r="B210" s="22" t="n"/>
      <c r="C210" s="22" t="n"/>
      <c r="D210" s="26" t="n"/>
      <c r="E210" s="27" t="n"/>
      <c r="F210" s="27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</row>
    <row r="211" ht="11.25" customHeight="1">
      <c r="A211" s="22" t="n"/>
      <c r="B211" s="22" t="n"/>
      <c r="C211" s="22" t="n"/>
      <c r="D211" s="26" t="n"/>
      <c r="E211" s="27" t="n"/>
      <c r="F211" s="27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</row>
    <row r="212" ht="11.25" customHeight="1">
      <c r="A212" s="22" t="n"/>
      <c r="B212" s="22" t="n"/>
      <c r="C212" s="22" t="n"/>
      <c r="D212" s="26" t="n"/>
      <c r="E212" s="27" t="n"/>
      <c r="F212" s="27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</row>
    <row r="213" ht="11.25" customHeight="1">
      <c r="A213" s="22" t="n"/>
      <c r="B213" s="22" t="n"/>
      <c r="C213" s="22" t="n"/>
      <c r="D213" s="26" t="n"/>
      <c r="E213" s="27" t="n"/>
      <c r="F213" s="27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</row>
    <row r="214" ht="11.25" customHeight="1">
      <c r="A214" s="22" t="n"/>
      <c r="B214" s="22" t="n"/>
      <c r="C214" s="22" t="n"/>
      <c r="D214" s="26" t="n"/>
      <c r="E214" s="27" t="n"/>
      <c r="F214" s="27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</row>
    <row r="215" ht="11.25" customHeight="1">
      <c r="A215" s="22" t="n"/>
      <c r="B215" s="22" t="n"/>
      <c r="C215" s="22" t="n"/>
      <c r="D215" s="26" t="n"/>
      <c r="E215" s="27" t="n"/>
      <c r="F215" s="27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</row>
    <row r="216" ht="11.25" customHeight="1">
      <c r="A216" s="22" t="n"/>
      <c r="B216" s="22" t="n"/>
      <c r="C216" s="22" t="n"/>
      <c r="D216" s="26" t="n"/>
      <c r="E216" s="27" t="n"/>
      <c r="F216" s="27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</row>
    <row r="217" ht="11.25" customHeight="1">
      <c r="A217" s="22" t="n"/>
      <c r="B217" s="22" t="n"/>
      <c r="C217" s="22" t="n"/>
      <c r="D217" s="26" t="n"/>
      <c r="E217" s="27" t="n"/>
      <c r="F217" s="27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</row>
    <row r="218" ht="11.25" customHeight="1">
      <c r="A218" s="22" t="n"/>
      <c r="B218" s="22" t="n"/>
      <c r="C218" s="22" t="n"/>
      <c r="D218" s="26" t="n"/>
      <c r="E218" s="27" t="n"/>
      <c r="F218" s="27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</row>
    <row r="219" ht="11.25" customHeight="1">
      <c r="A219" s="22" t="n"/>
      <c r="B219" s="22" t="n"/>
      <c r="C219" s="22" t="n"/>
      <c r="D219" s="26" t="n"/>
      <c r="E219" s="27" t="n"/>
      <c r="F219" s="27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</row>
    <row r="220" ht="11.25" customHeight="1">
      <c r="A220" s="22" t="n"/>
      <c r="B220" s="22" t="n"/>
      <c r="C220" s="22" t="n"/>
      <c r="D220" s="26" t="n"/>
      <c r="E220" s="27" t="n"/>
      <c r="F220" s="27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</row>
    <row r="221" ht="11.25" customHeight="1">
      <c r="A221" s="22" t="n"/>
      <c r="B221" s="22" t="n"/>
      <c r="C221" s="22" t="n"/>
      <c r="D221" s="26" t="n"/>
      <c r="E221" s="27" t="n"/>
      <c r="F221" s="27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</row>
    <row r="222" ht="11.25" customHeight="1">
      <c r="A222" s="22" t="n"/>
      <c r="B222" s="22" t="n"/>
      <c r="C222" s="22" t="n"/>
      <c r="D222" s="26" t="n"/>
      <c r="E222" s="27" t="n"/>
      <c r="F222" s="27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</row>
    <row r="223" ht="11.25" customHeight="1">
      <c r="A223" s="22" t="n"/>
      <c r="B223" s="22" t="n"/>
      <c r="C223" s="22" t="n"/>
      <c r="D223" s="26" t="n"/>
      <c r="E223" s="27" t="n"/>
      <c r="F223" s="27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</row>
    <row r="224" ht="11.25" customHeight="1">
      <c r="A224" s="22" t="n"/>
      <c r="B224" s="22" t="n"/>
      <c r="C224" s="22" t="n"/>
      <c r="D224" s="26" t="n"/>
      <c r="E224" s="27" t="n"/>
      <c r="F224" s="27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</row>
    <row r="225" ht="11.25" customHeight="1">
      <c r="A225" s="22" t="n"/>
      <c r="B225" s="22" t="n"/>
      <c r="C225" s="22" t="n"/>
      <c r="D225" s="26" t="n"/>
      <c r="E225" s="27" t="n"/>
      <c r="F225" s="27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</row>
    <row r="226" ht="11.25" customHeight="1">
      <c r="A226" s="22" t="n"/>
      <c r="B226" s="22" t="n"/>
      <c r="C226" s="22" t="n"/>
      <c r="D226" s="26" t="n"/>
      <c r="E226" s="27" t="n"/>
      <c r="F226" s="27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</row>
    <row r="227" ht="11.25" customHeight="1">
      <c r="A227" s="22" t="n"/>
      <c r="B227" s="22" t="n"/>
      <c r="C227" s="22" t="n"/>
      <c r="D227" s="26" t="n"/>
      <c r="E227" s="27" t="n"/>
      <c r="F227" s="27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</row>
    <row r="228" ht="11.25" customHeight="1">
      <c r="A228" s="22" t="n"/>
      <c r="B228" s="22" t="n"/>
      <c r="C228" s="22" t="n"/>
      <c r="D228" s="26" t="n"/>
      <c r="E228" s="27" t="n"/>
      <c r="F228" s="27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</row>
    <row r="229" ht="11.25" customHeight="1">
      <c r="A229" s="22" t="n"/>
      <c r="B229" s="22" t="n"/>
      <c r="C229" s="22" t="n"/>
      <c r="D229" s="26" t="n"/>
      <c r="E229" s="27" t="n"/>
      <c r="F229" s="27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</row>
    <row r="230" ht="11.25" customHeight="1">
      <c r="A230" s="22" t="n"/>
      <c r="B230" s="22" t="n"/>
      <c r="C230" s="22" t="n"/>
      <c r="D230" s="26" t="n"/>
      <c r="E230" s="27" t="n"/>
      <c r="F230" s="27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</row>
    <row r="231" ht="11.25" customHeight="1">
      <c r="A231" s="22" t="n"/>
      <c r="B231" s="22" t="n"/>
      <c r="C231" s="22" t="n"/>
      <c r="D231" s="26" t="n"/>
      <c r="E231" s="27" t="n"/>
      <c r="F231" s="27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</row>
    <row r="232" ht="11.25" customHeight="1">
      <c r="A232" s="22" t="n"/>
      <c r="B232" s="22" t="n"/>
      <c r="C232" s="22" t="n"/>
      <c r="D232" s="26" t="n"/>
      <c r="E232" s="27" t="n"/>
      <c r="F232" s="27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</row>
    <row r="233" ht="11.25" customHeight="1">
      <c r="A233" s="22" t="n"/>
      <c r="B233" s="22" t="n"/>
      <c r="C233" s="22" t="n"/>
      <c r="D233" s="26" t="n"/>
      <c r="E233" s="27" t="n"/>
      <c r="F233" s="27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</row>
    <row r="234" ht="11.25" customHeight="1">
      <c r="A234" s="22" t="n"/>
      <c r="B234" s="22" t="n"/>
      <c r="C234" s="22" t="n"/>
      <c r="D234" s="26" t="n"/>
      <c r="E234" s="27" t="n"/>
      <c r="F234" s="27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</row>
    <row r="235" ht="11.25" customHeight="1">
      <c r="A235" s="22" t="n"/>
      <c r="B235" s="22" t="n"/>
      <c r="C235" s="22" t="n"/>
      <c r="D235" s="26" t="n"/>
      <c r="E235" s="27" t="n"/>
      <c r="F235" s="27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</row>
    <row r="236" ht="11.25" customHeight="1">
      <c r="A236" s="22" t="n"/>
      <c r="B236" s="22" t="n"/>
      <c r="C236" s="22" t="n"/>
      <c r="D236" s="26" t="n"/>
      <c r="E236" s="27" t="n"/>
      <c r="F236" s="27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</row>
    <row r="237" ht="11.25" customHeight="1">
      <c r="A237" s="22" t="n"/>
      <c r="B237" s="22" t="n"/>
      <c r="C237" s="22" t="n"/>
      <c r="D237" s="26" t="n"/>
      <c r="E237" s="27" t="n"/>
      <c r="F237" s="27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</row>
    <row r="238" ht="11.25" customHeight="1">
      <c r="A238" s="22" t="n"/>
      <c r="B238" s="22" t="n"/>
      <c r="C238" s="22" t="n"/>
      <c r="D238" s="26" t="n"/>
      <c r="E238" s="27" t="n"/>
      <c r="F238" s="27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</row>
    <row r="239" ht="11.25" customHeight="1">
      <c r="A239" s="22" t="n"/>
      <c r="B239" s="22" t="n"/>
      <c r="C239" s="22" t="n"/>
      <c r="D239" s="26" t="n"/>
      <c r="E239" s="27" t="n"/>
      <c r="F239" s="27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</row>
    <row r="240" ht="11.25" customHeight="1">
      <c r="A240" s="22" t="n"/>
      <c r="B240" s="22" t="n"/>
      <c r="C240" s="22" t="n"/>
      <c r="D240" s="26" t="n"/>
      <c r="E240" s="27" t="n"/>
      <c r="F240" s="27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</row>
    <row r="241" ht="11.25" customHeight="1">
      <c r="A241" s="22" t="n"/>
      <c r="B241" s="22" t="n"/>
      <c r="C241" s="22" t="n"/>
      <c r="D241" s="26" t="n"/>
      <c r="E241" s="27" t="n"/>
      <c r="F241" s="27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</row>
    <row r="242" ht="11.25" customHeight="1">
      <c r="A242" s="22" t="n"/>
      <c r="B242" s="22" t="n"/>
      <c r="C242" s="22" t="n"/>
      <c r="D242" s="26" t="n"/>
      <c r="E242" s="27" t="n"/>
      <c r="F242" s="27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</row>
    <row r="243" ht="11.25" customHeight="1">
      <c r="A243" s="22" t="n"/>
      <c r="B243" s="22" t="n"/>
      <c r="C243" s="22" t="n"/>
      <c r="D243" s="26" t="n"/>
      <c r="E243" s="27" t="n"/>
      <c r="F243" s="27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</row>
    <row r="244" ht="11.25" customHeight="1">
      <c r="A244" s="22" t="n"/>
      <c r="B244" s="22" t="n"/>
      <c r="C244" s="22" t="n"/>
      <c r="D244" s="26" t="n"/>
      <c r="E244" s="27" t="n"/>
      <c r="F244" s="27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</row>
    <row r="245" ht="11.25" customHeight="1">
      <c r="A245" s="22" t="n"/>
      <c r="B245" s="22" t="n"/>
      <c r="C245" s="22" t="n"/>
      <c r="D245" s="26" t="n"/>
      <c r="E245" s="27" t="n"/>
      <c r="F245" s="27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</row>
    <row r="246" ht="11.25" customHeight="1">
      <c r="A246" s="22" t="n"/>
      <c r="B246" s="22" t="n"/>
      <c r="C246" s="22" t="n"/>
      <c r="D246" s="26" t="n"/>
      <c r="E246" s="27" t="n"/>
      <c r="F246" s="27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</row>
    <row r="247" ht="11.25" customHeight="1">
      <c r="A247" s="22" t="n"/>
      <c r="B247" s="22" t="n"/>
      <c r="C247" s="22" t="n"/>
      <c r="D247" s="26" t="n"/>
      <c r="E247" s="27" t="n"/>
      <c r="F247" s="27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</row>
    <row r="248" ht="11.25" customHeight="1">
      <c r="A248" s="22" t="n"/>
      <c r="B248" s="22" t="n"/>
      <c r="C248" s="22" t="n"/>
      <c r="D248" s="26" t="n"/>
      <c r="E248" s="27" t="n"/>
      <c r="F248" s="27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</row>
    <row r="249" ht="11.25" customHeight="1">
      <c r="A249" s="22" t="n"/>
      <c r="B249" s="22" t="n"/>
      <c r="C249" s="22" t="n"/>
      <c r="D249" s="26" t="n"/>
      <c r="E249" s="27" t="n"/>
      <c r="F249" s="27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</row>
    <row r="250" ht="11.25" customHeight="1">
      <c r="A250" s="22" t="n"/>
      <c r="B250" s="22" t="n"/>
      <c r="C250" s="22" t="n"/>
      <c r="D250" s="26" t="n"/>
      <c r="E250" s="27" t="n"/>
      <c r="F250" s="27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</row>
    <row r="251" ht="11.25" customHeight="1">
      <c r="A251" s="22" t="n"/>
      <c r="B251" s="22" t="n"/>
      <c r="C251" s="22" t="n"/>
      <c r="D251" s="26" t="n"/>
      <c r="E251" s="27" t="n"/>
      <c r="F251" s="27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</row>
    <row r="252" ht="11.25" customHeight="1">
      <c r="A252" s="22" t="n"/>
      <c r="B252" s="22" t="n"/>
      <c r="C252" s="22" t="n"/>
      <c r="D252" s="26" t="n"/>
      <c r="E252" s="27" t="n"/>
      <c r="F252" s="27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</row>
    <row r="253" ht="11.25" customHeight="1">
      <c r="A253" s="22" t="n"/>
      <c r="B253" s="22" t="n"/>
      <c r="C253" s="22" t="n"/>
      <c r="D253" s="26" t="n"/>
      <c r="E253" s="27" t="n"/>
      <c r="F253" s="27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</row>
    <row r="254" ht="11.25" customHeight="1">
      <c r="A254" s="22" t="n"/>
      <c r="B254" s="22" t="n"/>
      <c r="C254" s="22" t="n"/>
      <c r="D254" s="26" t="n"/>
      <c r="E254" s="27" t="n"/>
      <c r="F254" s="27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</row>
    <row r="255" ht="11.25" customHeight="1">
      <c r="A255" s="22" t="n"/>
      <c r="B255" s="22" t="n"/>
      <c r="C255" s="22" t="n"/>
      <c r="D255" s="26" t="n"/>
      <c r="E255" s="27" t="n"/>
      <c r="F255" s="27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</row>
    <row r="256" ht="11.25" customHeight="1">
      <c r="A256" s="22" t="n"/>
      <c r="B256" s="22" t="n"/>
      <c r="C256" s="22" t="n"/>
      <c r="D256" s="26" t="n"/>
      <c r="E256" s="27" t="n"/>
      <c r="F256" s="27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</row>
    <row r="257" ht="11.25" customHeight="1">
      <c r="A257" s="22" t="n"/>
      <c r="B257" s="22" t="n"/>
      <c r="C257" s="22" t="n"/>
      <c r="D257" s="26" t="n"/>
      <c r="E257" s="27" t="n"/>
      <c r="F257" s="27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</row>
    <row r="258" ht="11.25" customHeight="1">
      <c r="A258" s="22" t="n"/>
      <c r="B258" s="22" t="n"/>
      <c r="C258" s="22" t="n"/>
      <c r="D258" s="26" t="n"/>
      <c r="E258" s="27" t="n"/>
      <c r="F258" s="27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</row>
    <row r="259" ht="11.25" customHeight="1">
      <c r="A259" s="22" t="n"/>
      <c r="B259" s="22" t="n"/>
      <c r="C259" s="22" t="n"/>
      <c r="D259" s="26" t="n"/>
      <c r="E259" s="27" t="n"/>
      <c r="F259" s="27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</row>
    <row r="260" ht="11.25" customHeight="1">
      <c r="A260" s="22" t="n"/>
      <c r="B260" s="22" t="n"/>
      <c r="C260" s="22" t="n"/>
      <c r="D260" s="26" t="n"/>
      <c r="E260" s="27" t="n"/>
      <c r="F260" s="27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</row>
    <row r="261" ht="11.25" customHeight="1">
      <c r="A261" s="22" t="n"/>
      <c r="B261" s="22" t="n"/>
      <c r="C261" s="22" t="n"/>
      <c r="D261" s="26" t="n"/>
      <c r="E261" s="27" t="n"/>
      <c r="F261" s="27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</row>
    <row r="262" ht="11.25" customHeight="1">
      <c r="A262" s="22" t="n"/>
      <c r="B262" s="22" t="n"/>
      <c r="C262" s="22" t="n"/>
      <c r="D262" s="26" t="n"/>
      <c r="E262" s="27" t="n"/>
      <c r="F262" s="27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</row>
    <row r="263" ht="11.25" customHeight="1">
      <c r="A263" s="22" t="n"/>
      <c r="B263" s="22" t="n"/>
      <c r="C263" s="22" t="n"/>
      <c r="D263" s="26" t="n"/>
      <c r="E263" s="27" t="n"/>
      <c r="F263" s="27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</row>
    <row r="264" ht="11.25" customHeight="1">
      <c r="A264" s="22" t="n"/>
      <c r="B264" s="22" t="n"/>
      <c r="C264" s="22" t="n"/>
      <c r="D264" s="26" t="n"/>
      <c r="E264" s="27" t="n"/>
      <c r="F264" s="27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</row>
    <row r="265" ht="11.25" customHeight="1">
      <c r="A265" s="22" t="n"/>
      <c r="B265" s="22" t="n"/>
      <c r="C265" s="22" t="n"/>
      <c r="D265" s="26" t="n"/>
      <c r="E265" s="27" t="n"/>
      <c r="F265" s="27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</row>
    <row r="266" ht="11.25" customHeight="1">
      <c r="A266" s="22" t="n"/>
      <c r="B266" s="22" t="n"/>
      <c r="C266" s="22" t="n"/>
      <c r="D266" s="26" t="n"/>
      <c r="E266" s="27" t="n"/>
      <c r="F266" s="27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</row>
    <row r="267" ht="11.25" customHeight="1">
      <c r="A267" s="22" t="n"/>
      <c r="B267" s="22" t="n"/>
      <c r="C267" s="22" t="n"/>
      <c r="D267" s="26" t="n"/>
      <c r="E267" s="27" t="n"/>
      <c r="F267" s="27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</row>
    <row r="268" ht="11.25" customHeight="1">
      <c r="A268" s="22" t="n"/>
      <c r="B268" s="22" t="n"/>
      <c r="C268" s="22" t="n"/>
      <c r="D268" s="26" t="n"/>
      <c r="E268" s="27" t="n"/>
      <c r="F268" s="27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</row>
    <row r="269" ht="11.25" customHeight="1">
      <c r="A269" s="22" t="n"/>
      <c r="B269" s="22" t="n"/>
      <c r="C269" s="22" t="n"/>
      <c r="D269" s="26" t="n"/>
      <c r="E269" s="27" t="n"/>
      <c r="F269" s="27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</row>
    <row r="270" ht="11.25" customHeight="1">
      <c r="A270" s="22" t="n"/>
      <c r="B270" s="22" t="n"/>
      <c r="C270" s="22" t="n"/>
      <c r="D270" s="26" t="n"/>
      <c r="E270" s="27" t="n"/>
      <c r="F270" s="27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</row>
    <row r="271" ht="11.25" customHeight="1">
      <c r="A271" s="22" t="n"/>
      <c r="B271" s="22" t="n"/>
      <c r="C271" s="22" t="n"/>
      <c r="D271" s="26" t="n"/>
      <c r="E271" s="27" t="n"/>
      <c r="F271" s="27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</row>
    <row r="272" ht="11.25" customHeight="1">
      <c r="A272" s="22" t="n"/>
      <c r="B272" s="22" t="n"/>
      <c r="C272" s="22" t="n"/>
      <c r="D272" s="26" t="n"/>
      <c r="E272" s="27" t="n"/>
      <c r="F272" s="27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</row>
    <row r="273" ht="11.25" customHeight="1">
      <c r="A273" s="22" t="n"/>
      <c r="B273" s="22" t="n"/>
      <c r="C273" s="22" t="n"/>
      <c r="D273" s="26" t="n"/>
      <c r="E273" s="27" t="n"/>
      <c r="F273" s="27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</row>
    <row r="274" ht="11.25" customHeight="1">
      <c r="A274" s="22" t="n"/>
      <c r="B274" s="22" t="n"/>
      <c r="C274" s="22" t="n"/>
      <c r="D274" s="26" t="n"/>
      <c r="E274" s="27" t="n"/>
      <c r="F274" s="27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</row>
    <row r="275" ht="11.25" customHeight="1">
      <c r="A275" s="22" t="n"/>
      <c r="B275" s="22" t="n"/>
      <c r="C275" s="22" t="n"/>
      <c r="D275" s="26" t="n"/>
      <c r="E275" s="27" t="n"/>
      <c r="F275" s="27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</row>
    <row r="276" ht="11.25" customHeight="1">
      <c r="A276" s="22" t="n"/>
      <c r="B276" s="22" t="n"/>
      <c r="C276" s="22" t="n"/>
      <c r="D276" s="26" t="n"/>
      <c r="E276" s="27" t="n"/>
      <c r="F276" s="27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</row>
    <row r="277" ht="11.25" customHeight="1">
      <c r="A277" s="22" t="n"/>
      <c r="B277" s="22" t="n"/>
      <c r="C277" s="22" t="n"/>
      <c r="D277" s="26" t="n"/>
      <c r="E277" s="27" t="n"/>
      <c r="F277" s="27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</row>
    <row r="278" ht="11.25" customHeight="1">
      <c r="A278" s="22" t="n"/>
      <c r="B278" s="22" t="n"/>
      <c r="C278" s="22" t="n"/>
      <c r="D278" s="26" t="n"/>
      <c r="E278" s="27" t="n"/>
      <c r="F278" s="27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</row>
    <row r="279" ht="11.25" customHeight="1">
      <c r="A279" s="22" t="n"/>
      <c r="B279" s="22" t="n"/>
      <c r="C279" s="22" t="n"/>
      <c r="D279" s="26" t="n"/>
      <c r="E279" s="27" t="n"/>
      <c r="F279" s="27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</row>
    <row r="280" ht="11.25" customHeight="1">
      <c r="A280" s="22" t="n"/>
      <c r="B280" s="22" t="n"/>
      <c r="C280" s="22" t="n"/>
      <c r="D280" s="26" t="n"/>
      <c r="E280" s="27" t="n"/>
      <c r="F280" s="27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</row>
    <row r="281" ht="11.25" customHeight="1">
      <c r="A281" s="22" t="n"/>
      <c r="B281" s="22" t="n"/>
      <c r="C281" s="22" t="n"/>
      <c r="D281" s="26" t="n"/>
      <c r="E281" s="27" t="n"/>
      <c r="F281" s="27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</row>
    <row r="282" ht="11.25" customHeight="1">
      <c r="A282" s="22" t="n"/>
      <c r="B282" s="22" t="n"/>
      <c r="C282" s="22" t="n"/>
      <c r="D282" s="26" t="n"/>
      <c r="E282" s="27" t="n"/>
      <c r="F282" s="27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</row>
    <row r="283" ht="11.25" customHeight="1">
      <c r="A283" s="22" t="n"/>
      <c r="B283" s="22" t="n"/>
      <c r="C283" s="22" t="n"/>
      <c r="D283" s="26" t="n"/>
      <c r="E283" s="27" t="n"/>
      <c r="F283" s="27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</row>
    <row r="284" ht="11.25" customHeight="1">
      <c r="A284" s="22" t="n"/>
      <c r="B284" s="22" t="n"/>
      <c r="C284" s="22" t="n"/>
      <c r="D284" s="26" t="n"/>
      <c r="E284" s="27" t="n"/>
      <c r="F284" s="27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</row>
    <row r="285" ht="11.25" customHeight="1">
      <c r="A285" s="22" t="n"/>
      <c r="B285" s="22" t="n"/>
      <c r="C285" s="22" t="n"/>
      <c r="D285" s="26" t="n"/>
      <c r="E285" s="27" t="n"/>
      <c r="F285" s="27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</row>
    <row r="286" ht="11.25" customHeight="1">
      <c r="A286" s="22" t="n"/>
      <c r="B286" s="22" t="n"/>
      <c r="C286" s="22" t="n"/>
      <c r="D286" s="26" t="n"/>
      <c r="E286" s="27" t="n"/>
      <c r="F286" s="27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</row>
    <row r="287" ht="11.25" customHeight="1">
      <c r="A287" s="22" t="n"/>
      <c r="B287" s="22" t="n"/>
      <c r="C287" s="22" t="n"/>
      <c r="D287" s="26" t="n"/>
      <c r="E287" s="27" t="n"/>
      <c r="F287" s="27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</row>
    <row r="288" ht="11.25" customHeight="1">
      <c r="A288" s="22" t="n"/>
      <c r="B288" s="22" t="n"/>
      <c r="C288" s="22" t="n"/>
      <c r="D288" s="26" t="n"/>
      <c r="E288" s="27" t="n"/>
      <c r="F288" s="27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</row>
    <row r="289" ht="11.25" customHeight="1">
      <c r="A289" s="22" t="n"/>
      <c r="B289" s="22" t="n"/>
      <c r="C289" s="22" t="n"/>
      <c r="D289" s="26" t="n"/>
      <c r="E289" s="27" t="n"/>
      <c r="F289" s="27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</row>
    <row r="290" ht="11.25" customHeight="1">
      <c r="A290" s="22" t="n"/>
      <c r="B290" s="22" t="n"/>
      <c r="C290" s="22" t="n"/>
      <c r="D290" s="26" t="n"/>
      <c r="E290" s="27" t="n"/>
      <c r="F290" s="27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</row>
    <row r="291" ht="11.25" customHeight="1">
      <c r="A291" s="22" t="n"/>
      <c r="B291" s="22" t="n"/>
      <c r="C291" s="22" t="n"/>
      <c r="D291" s="26" t="n"/>
      <c r="E291" s="27" t="n"/>
      <c r="F291" s="27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</row>
    <row r="292" ht="11.25" customHeight="1">
      <c r="A292" s="22" t="n"/>
      <c r="B292" s="22" t="n"/>
      <c r="C292" s="22" t="n"/>
      <c r="D292" s="26" t="n"/>
      <c r="E292" s="27" t="n"/>
      <c r="F292" s="27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</row>
    <row r="293" ht="11.25" customHeight="1">
      <c r="A293" s="22" t="n"/>
      <c r="B293" s="22" t="n"/>
      <c r="C293" s="22" t="n"/>
      <c r="D293" s="26" t="n"/>
      <c r="E293" s="27" t="n"/>
      <c r="F293" s="27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</row>
    <row r="294" ht="11.25" customHeight="1">
      <c r="A294" s="22" t="n"/>
      <c r="B294" s="22" t="n"/>
      <c r="C294" s="22" t="n"/>
      <c r="D294" s="26" t="n"/>
      <c r="E294" s="27" t="n"/>
      <c r="F294" s="27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</row>
    <row r="295" ht="11.25" customHeight="1">
      <c r="A295" s="22" t="n"/>
      <c r="B295" s="22" t="n"/>
      <c r="C295" s="22" t="n"/>
      <c r="D295" s="26" t="n"/>
      <c r="E295" s="27" t="n"/>
      <c r="F295" s="27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</row>
    <row r="296" ht="11.25" customHeight="1">
      <c r="A296" s="22" t="n"/>
      <c r="B296" s="22" t="n"/>
      <c r="C296" s="22" t="n"/>
      <c r="D296" s="26" t="n"/>
      <c r="E296" s="27" t="n"/>
      <c r="F296" s="27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</row>
    <row r="297" ht="11.25" customHeight="1">
      <c r="A297" s="22" t="n"/>
      <c r="B297" s="22" t="n"/>
      <c r="C297" s="22" t="n"/>
      <c r="D297" s="26" t="n"/>
      <c r="E297" s="27" t="n"/>
      <c r="F297" s="27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</row>
    <row r="298" ht="11.25" customHeight="1">
      <c r="A298" s="22" t="n"/>
      <c r="B298" s="22" t="n"/>
      <c r="C298" s="22" t="n"/>
      <c r="D298" s="26" t="n"/>
      <c r="E298" s="27" t="n"/>
      <c r="F298" s="27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</row>
    <row r="299" ht="11.25" customHeight="1">
      <c r="A299" s="22" t="n"/>
      <c r="B299" s="22" t="n"/>
      <c r="C299" s="22" t="n"/>
      <c r="D299" s="26" t="n"/>
      <c r="E299" s="27" t="n"/>
      <c r="F299" s="27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</row>
    <row r="300" ht="11.25" customHeight="1">
      <c r="A300" s="22" t="n"/>
      <c r="B300" s="22" t="n"/>
      <c r="C300" s="22" t="n"/>
      <c r="D300" s="26" t="n"/>
      <c r="E300" s="27" t="n"/>
      <c r="F300" s="27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</row>
    <row r="301" ht="11.25" customHeight="1">
      <c r="A301" s="22" t="n"/>
      <c r="B301" s="22" t="n"/>
      <c r="C301" s="22" t="n"/>
      <c r="D301" s="26" t="n"/>
      <c r="E301" s="27" t="n"/>
      <c r="F301" s="27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</row>
    <row r="302" ht="11.25" customHeight="1">
      <c r="A302" s="22" t="n"/>
      <c r="B302" s="22" t="n"/>
      <c r="C302" s="22" t="n"/>
      <c r="D302" s="26" t="n"/>
      <c r="E302" s="27" t="n"/>
      <c r="F302" s="27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</row>
    <row r="303" ht="11.25" customHeight="1">
      <c r="A303" s="22" t="n"/>
      <c r="B303" s="22" t="n"/>
      <c r="C303" s="22" t="n"/>
      <c r="D303" s="26" t="n"/>
      <c r="E303" s="27" t="n"/>
      <c r="F303" s="27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</row>
    <row r="304" ht="11.25" customHeight="1">
      <c r="A304" s="22" t="n"/>
      <c r="B304" s="22" t="n"/>
      <c r="C304" s="22" t="n"/>
      <c r="D304" s="26" t="n"/>
      <c r="E304" s="27" t="n"/>
      <c r="F304" s="27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</row>
    <row r="305" ht="11.25" customHeight="1">
      <c r="A305" s="22" t="n"/>
      <c r="B305" s="22" t="n"/>
      <c r="C305" s="22" t="n"/>
      <c r="D305" s="26" t="n"/>
      <c r="E305" s="27" t="n"/>
      <c r="F305" s="27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</row>
    <row r="306" ht="11.25" customHeight="1">
      <c r="A306" s="22" t="n"/>
      <c r="B306" s="22" t="n"/>
      <c r="C306" s="22" t="n"/>
      <c r="D306" s="26" t="n"/>
      <c r="E306" s="27" t="n"/>
      <c r="F306" s="27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</row>
    <row r="307" ht="11.25" customHeight="1">
      <c r="A307" s="22" t="n"/>
      <c r="B307" s="22" t="n"/>
      <c r="C307" s="22" t="n"/>
      <c r="D307" s="26" t="n"/>
      <c r="E307" s="27" t="n"/>
      <c r="F307" s="27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</row>
    <row r="308" ht="11.25" customHeight="1">
      <c r="A308" s="22" t="n"/>
      <c r="B308" s="22" t="n"/>
      <c r="C308" s="22" t="n"/>
      <c r="D308" s="26" t="n"/>
      <c r="E308" s="27" t="n"/>
      <c r="F308" s="27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</row>
    <row r="309" ht="11.25" customHeight="1">
      <c r="A309" s="22" t="n"/>
      <c r="B309" s="22" t="n"/>
      <c r="C309" s="22" t="n"/>
      <c r="D309" s="26" t="n"/>
      <c r="E309" s="27" t="n"/>
      <c r="F309" s="27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</row>
    <row r="310" ht="11.25" customHeight="1">
      <c r="A310" s="22" t="n"/>
      <c r="B310" s="22" t="n"/>
      <c r="C310" s="22" t="n"/>
      <c r="D310" s="26" t="n"/>
      <c r="E310" s="27" t="n"/>
      <c r="F310" s="27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</row>
    <row r="311" ht="11.25" customHeight="1">
      <c r="A311" s="22" t="n"/>
      <c r="B311" s="22" t="n"/>
      <c r="C311" s="22" t="n"/>
      <c r="D311" s="26" t="n"/>
      <c r="E311" s="27" t="n"/>
      <c r="F311" s="27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</row>
    <row r="312" ht="11.25" customHeight="1">
      <c r="A312" s="22" t="n"/>
      <c r="B312" s="22" t="n"/>
      <c r="C312" s="22" t="n"/>
      <c r="D312" s="26" t="n"/>
      <c r="E312" s="27" t="n"/>
      <c r="F312" s="27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</row>
    <row r="313" ht="11.25" customHeight="1">
      <c r="A313" s="22" t="n"/>
      <c r="B313" s="22" t="n"/>
      <c r="C313" s="22" t="n"/>
      <c r="D313" s="26" t="n"/>
      <c r="E313" s="27" t="n"/>
      <c r="F313" s="27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</row>
    <row r="314" ht="11.25" customHeight="1">
      <c r="A314" s="22" t="n"/>
      <c r="B314" s="22" t="n"/>
      <c r="C314" s="22" t="n"/>
      <c r="D314" s="26" t="n"/>
      <c r="E314" s="27" t="n"/>
      <c r="F314" s="27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</row>
    <row r="315" ht="11.25" customHeight="1">
      <c r="A315" s="22" t="n"/>
      <c r="B315" s="22" t="n"/>
      <c r="C315" s="22" t="n"/>
      <c r="D315" s="26" t="n"/>
      <c r="E315" s="27" t="n"/>
      <c r="F315" s="27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</row>
    <row r="316" ht="11.25" customHeight="1">
      <c r="A316" s="22" t="n"/>
      <c r="B316" s="22" t="n"/>
      <c r="C316" s="22" t="n"/>
      <c r="D316" s="26" t="n"/>
      <c r="E316" s="27" t="n"/>
      <c r="F316" s="27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</row>
    <row r="317" ht="11.25" customHeight="1">
      <c r="A317" s="22" t="n"/>
      <c r="B317" s="22" t="n"/>
      <c r="C317" s="22" t="n"/>
      <c r="D317" s="26" t="n"/>
      <c r="E317" s="27" t="n"/>
      <c r="F317" s="27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</row>
    <row r="318" ht="11.25" customHeight="1">
      <c r="A318" s="22" t="n"/>
      <c r="B318" s="22" t="n"/>
      <c r="C318" s="22" t="n"/>
      <c r="D318" s="26" t="n"/>
      <c r="E318" s="27" t="n"/>
      <c r="F318" s="27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</row>
    <row r="319" ht="11.25" customHeight="1">
      <c r="A319" s="22" t="n"/>
      <c r="B319" s="22" t="n"/>
      <c r="C319" s="22" t="n"/>
      <c r="D319" s="26" t="n"/>
      <c r="E319" s="27" t="n"/>
      <c r="F319" s="27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</row>
    <row r="320" ht="11.25" customHeight="1">
      <c r="A320" s="22" t="n"/>
      <c r="B320" s="22" t="n"/>
      <c r="C320" s="22" t="n"/>
      <c r="D320" s="26" t="n"/>
      <c r="E320" s="27" t="n"/>
      <c r="F320" s="27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</row>
    <row r="321" ht="11.25" customHeight="1">
      <c r="A321" s="22" t="n"/>
      <c r="B321" s="22" t="n"/>
      <c r="C321" s="22" t="n"/>
      <c r="D321" s="26" t="n"/>
      <c r="E321" s="27" t="n"/>
      <c r="F321" s="27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</row>
    <row r="322" ht="11.25" customHeight="1">
      <c r="A322" s="22" t="n"/>
      <c r="B322" s="22" t="n"/>
      <c r="C322" s="22" t="n"/>
      <c r="D322" s="26" t="n"/>
      <c r="E322" s="27" t="n"/>
      <c r="F322" s="27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</row>
    <row r="323" ht="11.25" customHeight="1">
      <c r="A323" s="22" t="n"/>
      <c r="B323" s="22" t="n"/>
      <c r="C323" s="22" t="n"/>
      <c r="D323" s="26" t="n"/>
      <c r="E323" s="27" t="n"/>
      <c r="F323" s="27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</row>
    <row r="324" ht="11.25" customHeight="1">
      <c r="A324" s="22" t="n"/>
      <c r="B324" s="22" t="n"/>
      <c r="C324" s="22" t="n"/>
      <c r="D324" s="26" t="n"/>
      <c r="E324" s="27" t="n"/>
      <c r="F324" s="27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</row>
    <row r="325" ht="11.25" customHeight="1">
      <c r="A325" s="22" t="n"/>
      <c r="B325" s="22" t="n"/>
      <c r="C325" s="22" t="n"/>
      <c r="D325" s="26" t="n"/>
      <c r="E325" s="27" t="n"/>
      <c r="F325" s="27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</row>
    <row r="326" ht="11.25" customHeight="1">
      <c r="A326" s="22" t="n"/>
      <c r="B326" s="22" t="n"/>
      <c r="C326" s="22" t="n"/>
      <c r="D326" s="26" t="n"/>
      <c r="E326" s="27" t="n"/>
      <c r="F326" s="27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</row>
    <row r="327" ht="11.25" customHeight="1">
      <c r="A327" s="22" t="n"/>
      <c r="B327" s="22" t="n"/>
      <c r="C327" s="22" t="n"/>
      <c r="D327" s="26" t="n"/>
      <c r="E327" s="27" t="n"/>
      <c r="F327" s="27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</row>
    <row r="328" ht="11.25" customHeight="1">
      <c r="A328" s="22" t="n"/>
      <c r="B328" s="22" t="n"/>
      <c r="C328" s="22" t="n"/>
      <c r="D328" s="26" t="n"/>
      <c r="E328" s="27" t="n"/>
      <c r="F328" s="27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</row>
    <row r="329" ht="11.25" customHeight="1">
      <c r="A329" s="22" t="n"/>
      <c r="B329" s="22" t="n"/>
      <c r="C329" s="22" t="n"/>
      <c r="D329" s="26" t="n"/>
      <c r="E329" s="27" t="n"/>
      <c r="F329" s="27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</row>
    <row r="330" ht="11.25" customHeight="1">
      <c r="A330" s="22" t="n"/>
      <c r="B330" s="22" t="n"/>
      <c r="C330" s="22" t="n"/>
      <c r="D330" s="26" t="n"/>
      <c r="E330" s="27" t="n"/>
      <c r="F330" s="27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</row>
    <row r="331" ht="11.25" customHeight="1">
      <c r="A331" s="22" t="n"/>
      <c r="B331" s="22" t="n"/>
      <c r="C331" s="22" t="n"/>
      <c r="D331" s="26" t="n"/>
      <c r="E331" s="27" t="n"/>
      <c r="F331" s="27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</row>
    <row r="332" ht="11.25" customHeight="1">
      <c r="A332" s="22" t="n"/>
      <c r="B332" s="22" t="n"/>
      <c r="C332" s="22" t="n"/>
      <c r="D332" s="26" t="n"/>
      <c r="E332" s="27" t="n"/>
      <c r="F332" s="27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</row>
    <row r="333" ht="11.25" customHeight="1">
      <c r="A333" s="22" t="n"/>
      <c r="B333" s="22" t="n"/>
      <c r="C333" s="22" t="n"/>
      <c r="D333" s="26" t="n"/>
      <c r="E333" s="27" t="n"/>
      <c r="F333" s="27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</row>
    <row r="334" ht="11.25" customHeight="1">
      <c r="A334" s="22" t="n"/>
      <c r="B334" s="22" t="n"/>
      <c r="C334" s="22" t="n"/>
      <c r="D334" s="26" t="n"/>
      <c r="E334" s="27" t="n"/>
      <c r="F334" s="27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</row>
    <row r="335" ht="11.25" customHeight="1">
      <c r="A335" s="22" t="n"/>
      <c r="B335" s="22" t="n"/>
      <c r="C335" s="22" t="n"/>
      <c r="D335" s="26" t="n"/>
      <c r="E335" s="27" t="n"/>
      <c r="F335" s="27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</row>
    <row r="336" ht="11.25" customHeight="1">
      <c r="A336" s="22" t="n"/>
      <c r="B336" s="22" t="n"/>
      <c r="C336" s="22" t="n"/>
      <c r="D336" s="26" t="n"/>
      <c r="E336" s="27" t="n"/>
      <c r="F336" s="27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</row>
    <row r="337" ht="11.25" customHeight="1">
      <c r="A337" s="22" t="n"/>
      <c r="B337" s="22" t="n"/>
      <c r="C337" s="22" t="n"/>
      <c r="D337" s="26" t="n"/>
      <c r="E337" s="27" t="n"/>
      <c r="F337" s="27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</row>
    <row r="338" ht="11.25" customHeight="1">
      <c r="A338" s="22" t="n"/>
      <c r="B338" s="22" t="n"/>
      <c r="C338" s="22" t="n"/>
      <c r="D338" s="26" t="n"/>
      <c r="E338" s="27" t="n"/>
      <c r="F338" s="27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</row>
    <row r="339" ht="11.25" customHeight="1">
      <c r="A339" s="22" t="n"/>
      <c r="B339" s="22" t="n"/>
      <c r="C339" s="22" t="n"/>
      <c r="D339" s="26" t="n"/>
      <c r="E339" s="27" t="n"/>
      <c r="F339" s="27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</row>
    <row r="340" ht="11.25" customHeight="1">
      <c r="A340" s="22" t="n"/>
      <c r="B340" s="22" t="n"/>
      <c r="C340" s="22" t="n"/>
      <c r="D340" s="26" t="n"/>
      <c r="E340" s="27" t="n"/>
      <c r="F340" s="27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</row>
    <row r="341" ht="11.25" customHeight="1">
      <c r="A341" s="22" t="n"/>
      <c r="B341" s="22" t="n"/>
      <c r="C341" s="22" t="n"/>
      <c r="D341" s="26" t="n"/>
      <c r="E341" s="27" t="n"/>
      <c r="F341" s="27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</row>
    <row r="342" ht="11.25" customHeight="1">
      <c r="A342" s="22" t="n"/>
      <c r="B342" s="22" t="n"/>
      <c r="C342" s="22" t="n"/>
      <c r="D342" s="26" t="n"/>
      <c r="E342" s="27" t="n"/>
      <c r="F342" s="27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</row>
    <row r="343" ht="11.25" customHeight="1">
      <c r="A343" s="22" t="n"/>
      <c r="B343" s="22" t="n"/>
      <c r="C343" s="22" t="n"/>
      <c r="D343" s="26" t="n"/>
      <c r="E343" s="27" t="n"/>
      <c r="F343" s="27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</row>
    <row r="344" ht="11.25" customHeight="1">
      <c r="A344" s="22" t="n"/>
      <c r="B344" s="22" t="n"/>
      <c r="C344" s="22" t="n"/>
      <c r="D344" s="26" t="n"/>
      <c r="E344" s="27" t="n"/>
      <c r="F344" s="27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</row>
    <row r="345" ht="11.25" customHeight="1">
      <c r="A345" s="22" t="n"/>
      <c r="B345" s="22" t="n"/>
      <c r="C345" s="22" t="n"/>
      <c r="D345" s="26" t="n"/>
      <c r="E345" s="27" t="n"/>
      <c r="F345" s="27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</row>
    <row r="346" ht="11.25" customHeight="1">
      <c r="A346" s="22" t="n"/>
      <c r="B346" s="22" t="n"/>
      <c r="C346" s="22" t="n"/>
      <c r="D346" s="26" t="n"/>
      <c r="E346" s="27" t="n"/>
      <c r="F346" s="27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</row>
    <row r="347" ht="11.25" customHeight="1">
      <c r="A347" s="22" t="n"/>
      <c r="B347" s="22" t="n"/>
      <c r="C347" s="22" t="n"/>
      <c r="D347" s="26" t="n"/>
      <c r="E347" s="27" t="n"/>
      <c r="F347" s="27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</row>
    <row r="348" ht="11.25" customHeight="1">
      <c r="A348" s="22" t="n"/>
      <c r="B348" s="22" t="n"/>
      <c r="C348" s="22" t="n"/>
      <c r="D348" s="26" t="n"/>
      <c r="E348" s="27" t="n"/>
      <c r="F348" s="27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</row>
    <row r="349" ht="11.25" customHeight="1">
      <c r="A349" s="22" t="n"/>
      <c r="B349" s="22" t="n"/>
      <c r="C349" s="22" t="n"/>
      <c r="D349" s="26" t="n"/>
      <c r="E349" s="27" t="n"/>
      <c r="F349" s="27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</row>
    <row r="350" ht="11.25" customHeight="1">
      <c r="A350" s="22" t="n"/>
      <c r="B350" s="22" t="n"/>
      <c r="C350" s="22" t="n"/>
      <c r="D350" s="26" t="n"/>
      <c r="E350" s="27" t="n"/>
      <c r="F350" s="27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</row>
    <row r="351" ht="11.25" customHeight="1">
      <c r="A351" s="22" t="n"/>
      <c r="B351" s="22" t="n"/>
      <c r="C351" s="22" t="n"/>
      <c r="D351" s="26" t="n"/>
      <c r="E351" s="27" t="n"/>
      <c r="F351" s="27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</row>
    <row r="352" ht="11.25" customHeight="1">
      <c r="A352" s="22" t="n"/>
      <c r="B352" s="22" t="n"/>
      <c r="C352" s="22" t="n"/>
      <c r="D352" s="26" t="n"/>
      <c r="E352" s="27" t="n"/>
      <c r="F352" s="27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</row>
    <row r="353" ht="11.25" customHeight="1">
      <c r="A353" s="22" t="n"/>
      <c r="B353" s="22" t="n"/>
      <c r="C353" s="22" t="n"/>
      <c r="D353" s="26" t="n"/>
      <c r="E353" s="27" t="n"/>
      <c r="F353" s="27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</row>
    <row r="354" ht="11.25" customHeight="1">
      <c r="A354" s="22" t="n"/>
      <c r="B354" s="22" t="n"/>
      <c r="C354" s="22" t="n"/>
      <c r="D354" s="26" t="n"/>
      <c r="E354" s="27" t="n"/>
      <c r="F354" s="27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</row>
    <row r="355" ht="11.25" customHeight="1">
      <c r="A355" s="22" t="n"/>
      <c r="B355" s="22" t="n"/>
      <c r="C355" s="22" t="n"/>
      <c r="D355" s="26" t="n"/>
      <c r="E355" s="27" t="n"/>
      <c r="F355" s="27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</row>
    <row r="356" ht="11.25" customHeight="1">
      <c r="A356" s="22" t="n"/>
      <c r="B356" s="22" t="n"/>
      <c r="C356" s="22" t="n"/>
      <c r="D356" s="26" t="n"/>
      <c r="E356" s="27" t="n"/>
      <c r="F356" s="27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</row>
    <row r="357" ht="11.25" customHeight="1">
      <c r="A357" s="22" t="n"/>
      <c r="B357" s="22" t="n"/>
      <c r="C357" s="22" t="n"/>
      <c r="D357" s="26" t="n"/>
      <c r="E357" s="27" t="n"/>
      <c r="F357" s="27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</row>
    <row r="358" ht="11.25" customHeight="1">
      <c r="A358" s="22" t="n"/>
      <c r="B358" s="22" t="n"/>
      <c r="C358" s="22" t="n"/>
      <c r="D358" s="26" t="n"/>
      <c r="E358" s="27" t="n"/>
      <c r="F358" s="27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</row>
    <row r="359" ht="11.25" customHeight="1">
      <c r="A359" s="22" t="n"/>
      <c r="B359" s="22" t="n"/>
      <c r="C359" s="22" t="n"/>
      <c r="D359" s="26" t="n"/>
      <c r="E359" s="27" t="n"/>
      <c r="F359" s="27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</row>
    <row r="360" ht="11.25" customHeight="1">
      <c r="A360" s="22" t="n"/>
      <c r="B360" s="22" t="n"/>
      <c r="C360" s="22" t="n"/>
      <c r="D360" s="26" t="n"/>
      <c r="E360" s="27" t="n"/>
      <c r="F360" s="27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</row>
    <row r="361" ht="11.25" customHeight="1">
      <c r="A361" s="22" t="n"/>
      <c r="B361" s="22" t="n"/>
      <c r="C361" s="22" t="n"/>
      <c r="D361" s="26" t="n"/>
      <c r="E361" s="27" t="n"/>
      <c r="F361" s="27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</row>
    <row r="362" ht="11.25" customHeight="1">
      <c r="A362" s="22" t="n"/>
      <c r="B362" s="22" t="n"/>
      <c r="C362" s="22" t="n"/>
      <c r="D362" s="26" t="n"/>
      <c r="E362" s="27" t="n"/>
      <c r="F362" s="27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</row>
    <row r="363" ht="11.25" customHeight="1">
      <c r="A363" s="22" t="n"/>
      <c r="B363" s="22" t="n"/>
      <c r="C363" s="22" t="n"/>
      <c r="D363" s="26" t="n"/>
      <c r="E363" s="27" t="n"/>
      <c r="F363" s="27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</row>
    <row r="364" ht="11.25" customHeight="1">
      <c r="A364" s="22" t="n"/>
      <c r="B364" s="22" t="n"/>
      <c r="C364" s="22" t="n"/>
      <c r="D364" s="26" t="n"/>
      <c r="E364" s="27" t="n"/>
      <c r="F364" s="27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</row>
    <row r="365" ht="11.25" customHeight="1">
      <c r="A365" s="22" t="n"/>
      <c r="B365" s="22" t="n"/>
      <c r="C365" s="22" t="n"/>
      <c r="D365" s="26" t="n"/>
      <c r="E365" s="27" t="n"/>
      <c r="F365" s="27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</row>
    <row r="366" ht="11.25" customHeight="1">
      <c r="A366" s="22" t="n"/>
      <c r="B366" s="22" t="n"/>
      <c r="C366" s="22" t="n"/>
      <c r="D366" s="26" t="n"/>
      <c r="E366" s="27" t="n"/>
      <c r="F366" s="27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</row>
    <row r="367" ht="11.25" customHeight="1">
      <c r="A367" s="22" t="n"/>
      <c r="B367" s="22" t="n"/>
      <c r="C367" s="22" t="n"/>
      <c r="D367" s="26" t="n"/>
      <c r="E367" s="27" t="n"/>
      <c r="F367" s="27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</row>
    <row r="368" ht="11.25" customHeight="1">
      <c r="A368" s="22" t="n"/>
      <c r="B368" s="22" t="n"/>
      <c r="C368" s="22" t="n"/>
      <c r="D368" s="26" t="n"/>
      <c r="E368" s="27" t="n"/>
      <c r="F368" s="27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</row>
    <row r="369" ht="11.25" customHeight="1">
      <c r="A369" s="22" t="n"/>
      <c r="B369" s="22" t="n"/>
      <c r="C369" s="22" t="n"/>
      <c r="D369" s="26" t="n"/>
      <c r="E369" s="27" t="n"/>
      <c r="F369" s="27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</row>
    <row r="370" ht="11.25" customHeight="1">
      <c r="A370" s="22" t="n"/>
      <c r="B370" s="22" t="n"/>
      <c r="C370" s="22" t="n"/>
      <c r="D370" s="26" t="n"/>
      <c r="E370" s="27" t="n"/>
      <c r="F370" s="27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</row>
    <row r="371" ht="11.25" customHeight="1">
      <c r="A371" s="22" t="n"/>
      <c r="B371" s="22" t="n"/>
      <c r="C371" s="22" t="n"/>
      <c r="D371" s="26" t="n"/>
      <c r="E371" s="27" t="n"/>
      <c r="F371" s="27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</row>
    <row r="372" ht="11.25" customHeight="1">
      <c r="A372" s="22" t="n"/>
      <c r="B372" s="22" t="n"/>
      <c r="C372" s="22" t="n"/>
      <c r="D372" s="26" t="n"/>
      <c r="E372" s="27" t="n"/>
      <c r="F372" s="27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</row>
    <row r="373" ht="11.25" customHeight="1">
      <c r="A373" s="22" t="n"/>
      <c r="B373" s="22" t="n"/>
      <c r="C373" s="22" t="n"/>
      <c r="D373" s="26" t="n"/>
      <c r="E373" s="27" t="n"/>
      <c r="F373" s="27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</row>
    <row r="374" ht="11.25" customHeight="1">
      <c r="A374" s="22" t="n"/>
      <c r="B374" s="22" t="n"/>
      <c r="C374" s="22" t="n"/>
      <c r="D374" s="26" t="n"/>
      <c r="E374" s="27" t="n"/>
      <c r="F374" s="27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</row>
    <row r="375" ht="11.25" customHeight="1">
      <c r="A375" s="22" t="n"/>
      <c r="B375" s="22" t="n"/>
      <c r="C375" s="22" t="n"/>
      <c r="D375" s="26" t="n"/>
      <c r="E375" s="27" t="n"/>
      <c r="F375" s="27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</row>
    <row r="376" ht="11.25" customHeight="1">
      <c r="A376" s="22" t="n"/>
      <c r="B376" s="22" t="n"/>
      <c r="C376" s="22" t="n"/>
      <c r="D376" s="26" t="n"/>
      <c r="E376" s="27" t="n"/>
      <c r="F376" s="27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</row>
    <row r="377" ht="11.25" customHeight="1">
      <c r="A377" s="22" t="n"/>
      <c r="B377" s="22" t="n"/>
      <c r="C377" s="22" t="n"/>
      <c r="D377" s="26" t="n"/>
      <c r="E377" s="27" t="n"/>
      <c r="F377" s="27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</row>
    <row r="378" ht="11.25" customHeight="1">
      <c r="A378" s="22" t="n"/>
      <c r="B378" s="22" t="n"/>
      <c r="C378" s="22" t="n"/>
      <c r="D378" s="26" t="n"/>
      <c r="E378" s="27" t="n"/>
      <c r="F378" s="27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</row>
    <row r="379" ht="11.25" customHeight="1">
      <c r="A379" s="22" t="n"/>
      <c r="B379" s="22" t="n"/>
      <c r="C379" s="22" t="n"/>
      <c r="D379" s="26" t="n"/>
      <c r="E379" s="27" t="n"/>
      <c r="F379" s="27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</row>
    <row r="380" ht="11.25" customHeight="1">
      <c r="A380" s="22" t="n"/>
      <c r="B380" s="22" t="n"/>
      <c r="C380" s="22" t="n"/>
      <c r="D380" s="26" t="n"/>
      <c r="E380" s="27" t="n"/>
      <c r="F380" s="27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</row>
    <row r="381" ht="11.25" customHeight="1">
      <c r="A381" s="22" t="n"/>
      <c r="B381" s="22" t="n"/>
      <c r="C381" s="22" t="n"/>
      <c r="D381" s="26" t="n"/>
      <c r="E381" s="27" t="n"/>
      <c r="F381" s="27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</row>
    <row r="382" ht="11.25" customHeight="1">
      <c r="A382" s="22" t="n"/>
      <c r="B382" s="22" t="n"/>
      <c r="C382" s="22" t="n"/>
      <c r="D382" s="26" t="n"/>
      <c r="E382" s="27" t="n"/>
      <c r="F382" s="27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</row>
    <row r="383" ht="11.25" customHeight="1">
      <c r="A383" s="22" t="n"/>
      <c r="B383" s="22" t="n"/>
      <c r="C383" s="22" t="n"/>
      <c r="D383" s="26" t="n"/>
      <c r="E383" s="27" t="n"/>
      <c r="F383" s="27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</row>
    <row r="384" ht="11.25" customHeight="1">
      <c r="A384" s="22" t="n"/>
      <c r="B384" s="22" t="n"/>
      <c r="C384" s="22" t="n"/>
      <c r="D384" s="26" t="n"/>
      <c r="E384" s="27" t="n"/>
      <c r="F384" s="27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</row>
    <row r="385" ht="11.25" customHeight="1">
      <c r="A385" s="22" t="n"/>
      <c r="B385" s="22" t="n"/>
      <c r="C385" s="22" t="n"/>
      <c r="D385" s="26" t="n"/>
      <c r="E385" s="27" t="n"/>
      <c r="F385" s="27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</row>
    <row r="386" ht="11.25" customHeight="1">
      <c r="A386" s="22" t="n"/>
      <c r="B386" s="22" t="n"/>
      <c r="C386" s="22" t="n"/>
      <c r="D386" s="26" t="n"/>
      <c r="E386" s="27" t="n"/>
      <c r="F386" s="27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</row>
    <row r="387" ht="11.25" customHeight="1">
      <c r="A387" s="22" t="n"/>
      <c r="B387" s="22" t="n"/>
      <c r="C387" s="22" t="n"/>
      <c r="D387" s="26" t="n"/>
      <c r="E387" s="27" t="n"/>
      <c r="F387" s="27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</row>
    <row r="388" ht="11.25" customHeight="1">
      <c r="A388" s="22" t="n"/>
      <c r="B388" s="22" t="n"/>
      <c r="C388" s="22" t="n"/>
      <c r="D388" s="26" t="n"/>
      <c r="E388" s="27" t="n"/>
      <c r="F388" s="27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</row>
    <row r="389" ht="11.25" customHeight="1">
      <c r="A389" s="22" t="n"/>
      <c r="B389" s="22" t="n"/>
      <c r="C389" s="22" t="n"/>
      <c r="D389" s="26" t="n"/>
      <c r="E389" s="27" t="n"/>
      <c r="F389" s="27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</row>
    <row r="390" ht="11.25" customHeight="1">
      <c r="A390" s="22" t="n"/>
      <c r="B390" s="22" t="n"/>
      <c r="C390" s="22" t="n"/>
      <c r="D390" s="26" t="n"/>
      <c r="E390" s="27" t="n"/>
      <c r="F390" s="27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</row>
    <row r="391" ht="11.25" customHeight="1">
      <c r="A391" s="22" t="n"/>
      <c r="B391" s="22" t="n"/>
      <c r="C391" s="22" t="n"/>
      <c r="D391" s="26" t="n"/>
      <c r="E391" s="27" t="n"/>
      <c r="F391" s="27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</row>
    <row r="392" ht="11.25" customHeight="1">
      <c r="A392" s="22" t="n"/>
      <c r="B392" s="22" t="n"/>
      <c r="C392" s="22" t="n"/>
      <c r="D392" s="26" t="n"/>
      <c r="E392" s="27" t="n"/>
      <c r="F392" s="27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</row>
    <row r="393" ht="11.25" customHeight="1">
      <c r="A393" s="22" t="n"/>
      <c r="B393" s="22" t="n"/>
      <c r="C393" s="22" t="n"/>
      <c r="D393" s="26" t="n"/>
      <c r="E393" s="27" t="n"/>
      <c r="F393" s="27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</row>
    <row r="394" ht="11.25" customHeight="1">
      <c r="A394" s="22" t="n"/>
      <c r="B394" s="22" t="n"/>
      <c r="C394" s="22" t="n"/>
      <c r="D394" s="26" t="n"/>
      <c r="E394" s="27" t="n"/>
      <c r="F394" s="27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</row>
    <row r="395" ht="11.25" customHeight="1">
      <c r="A395" s="22" t="n"/>
      <c r="B395" s="22" t="n"/>
      <c r="C395" s="22" t="n"/>
      <c r="D395" s="26" t="n"/>
      <c r="E395" s="27" t="n"/>
      <c r="F395" s="27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</row>
    <row r="396" ht="11.25" customHeight="1">
      <c r="A396" s="22" t="n"/>
      <c r="B396" s="22" t="n"/>
      <c r="C396" s="22" t="n"/>
      <c r="D396" s="26" t="n"/>
      <c r="E396" s="27" t="n"/>
      <c r="F396" s="27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</row>
    <row r="397" ht="11.25" customHeight="1">
      <c r="A397" s="22" t="n"/>
      <c r="B397" s="22" t="n"/>
      <c r="C397" s="22" t="n"/>
      <c r="D397" s="26" t="n"/>
      <c r="E397" s="27" t="n"/>
      <c r="F397" s="27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</row>
    <row r="398" ht="11.25" customHeight="1">
      <c r="A398" s="22" t="n"/>
      <c r="B398" s="22" t="n"/>
      <c r="C398" s="22" t="n"/>
      <c r="D398" s="26" t="n"/>
      <c r="E398" s="27" t="n"/>
      <c r="F398" s="27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</row>
    <row r="399" ht="11.25" customHeight="1">
      <c r="A399" s="22" t="n"/>
      <c r="B399" s="22" t="n"/>
      <c r="C399" s="22" t="n"/>
      <c r="D399" s="26" t="n"/>
      <c r="E399" s="27" t="n"/>
      <c r="F399" s="27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</row>
    <row r="400" ht="11.25" customHeight="1">
      <c r="A400" s="22" t="n"/>
      <c r="B400" s="22" t="n"/>
      <c r="C400" s="22" t="n"/>
      <c r="D400" s="26" t="n"/>
      <c r="E400" s="27" t="n"/>
      <c r="F400" s="27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</row>
    <row r="401" ht="11.25" customHeight="1">
      <c r="A401" s="22" t="n"/>
      <c r="B401" s="22" t="n"/>
      <c r="C401" s="22" t="n"/>
      <c r="D401" s="26" t="n"/>
      <c r="E401" s="27" t="n"/>
      <c r="F401" s="27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</row>
    <row r="402" ht="11.25" customHeight="1">
      <c r="A402" s="22" t="n"/>
      <c r="B402" s="22" t="n"/>
      <c r="C402" s="22" t="n"/>
      <c r="D402" s="26" t="n"/>
      <c r="E402" s="27" t="n"/>
      <c r="F402" s="27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</row>
    <row r="403" ht="11.25" customHeight="1">
      <c r="A403" s="22" t="n"/>
      <c r="B403" s="22" t="n"/>
      <c r="C403" s="22" t="n"/>
      <c r="D403" s="26" t="n"/>
      <c r="E403" s="27" t="n"/>
      <c r="F403" s="27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</row>
    <row r="404" ht="11.25" customHeight="1">
      <c r="A404" s="22" t="n"/>
      <c r="B404" s="22" t="n"/>
      <c r="C404" s="22" t="n"/>
      <c r="D404" s="26" t="n"/>
      <c r="E404" s="27" t="n"/>
      <c r="F404" s="27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</row>
    <row r="405" ht="11.25" customHeight="1">
      <c r="A405" s="22" t="n"/>
      <c r="B405" s="22" t="n"/>
      <c r="C405" s="22" t="n"/>
      <c r="D405" s="26" t="n"/>
      <c r="E405" s="27" t="n"/>
      <c r="F405" s="27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</row>
    <row r="406" ht="11.25" customHeight="1">
      <c r="A406" s="22" t="n"/>
      <c r="B406" s="22" t="n"/>
      <c r="C406" s="22" t="n"/>
      <c r="D406" s="26" t="n"/>
      <c r="E406" s="27" t="n"/>
      <c r="F406" s="27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</row>
    <row r="407" ht="11.25" customHeight="1">
      <c r="A407" s="22" t="n"/>
      <c r="B407" s="22" t="n"/>
      <c r="C407" s="22" t="n"/>
      <c r="D407" s="26" t="n"/>
      <c r="E407" s="27" t="n"/>
      <c r="F407" s="27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</row>
    <row r="408" ht="11.25" customHeight="1">
      <c r="A408" s="22" t="n"/>
      <c r="B408" s="22" t="n"/>
      <c r="C408" s="22" t="n"/>
      <c r="D408" s="26" t="n"/>
      <c r="E408" s="27" t="n"/>
      <c r="F408" s="27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</row>
    <row r="409" ht="11.25" customHeight="1">
      <c r="A409" s="22" t="n"/>
      <c r="B409" s="22" t="n"/>
      <c r="C409" s="22" t="n"/>
      <c r="D409" s="26" t="n"/>
      <c r="E409" s="27" t="n"/>
      <c r="F409" s="27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</row>
    <row r="410" ht="11.25" customHeight="1">
      <c r="A410" s="22" t="n"/>
      <c r="B410" s="22" t="n"/>
      <c r="C410" s="22" t="n"/>
      <c r="D410" s="26" t="n"/>
      <c r="E410" s="27" t="n"/>
      <c r="F410" s="27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</row>
    <row r="411" ht="11.25" customHeight="1">
      <c r="A411" s="22" t="n"/>
      <c r="B411" s="22" t="n"/>
      <c r="C411" s="22" t="n"/>
      <c r="D411" s="26" t="n"/>
      <c r="E411" s="27" t="n"/>
      <c r="F411" s="27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</row>
    <row r="412" ht="11.25" customHeight="1">
      <c r="A412" s="22" t="n"/>
      <c r="B412" s="22" t="n"/>
      <c r="C412" s="22" t="n"/>
      <c r="D412" s="26" t="n"/>
      <c r="E412" s="27" t="n"/>
      <c r="F412" s="27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</row>
    <row r="413" ht="11.25" customHeight="1">
      <c r="A413" s="22" t="n"/>
      <c r="B413" s="22" t="n"/>
      <c r="C413" s="22" t="n"/>
      <c r="D413" s="26" t="n"/>
      <c r="E413" s="27" t="n"/>
      <c r="F413" s="27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</row>
    <row r="414" ht="11.25" customHeight="1">
      <c r="A414" s="22" t="n"/>
      <c r="B414" s="22" t="n"/>
      <c r="C414" s="22" t="n"/>
      <c r="D414" s="26" t="n"/>
      <c r="E414" s="27" t="n"/>
      <c r="F414" s="27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</row>
    <row r="415" ht="11.25" customHeight="1">
      <c r="A415" s="22" t="n"/>
      <c r="B415" s="22" t="n"/>
      <c r="C415" s="22" t="n"/>
      <c r="D415" s="26" t="n"/>
      <c r="E415" s="27" t="n"/>
      <c r="F415" s="27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</row>
    <row r="416" ht="11.25" customHeight="1">
      <c r="A416" s="22" t="n"/>
      <c r="B416" s="22" t="n"/>
      <c r="C416" s="22" t="n"/>
      <c r="D416" s="26" t="n"/>
      <c r="E416" s="27" t="n"/>
      <c r="F416" s="27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</row>
    <row r="417" ht="11.25" customHeight="1">
      <c r="A417" s="22" t="n"/>
      <c r="B417" s="22" t="n"/>
      <c r="C417" s="22" t="n"/>
      <c r="D417" s="26" t="n"/>
      <c r="E417" s="27" t="n"/>
      <c r="F417" s="27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</row>
    <row r="418" ht="11.25" customHeight="1">
      <c r="A418" s="22" t="n"/>
      <c r="B418" s="22" t="n"/>
      <c r="C418" s="22" t="n"/>
      <c r="D418" s="26" t="n"/>
      <c r="E418" s="27" t="n"/>
      <c r="F418" s="27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</row>
    <row r="419" ht="11.25" customHeight="1">
      <c r="A419" s="22" t="n"/>
      <c r="B419" s="22" t="n"/>
      <c r="C419" s="22" t="n"/>
      <c r="D419" s="26" t="n"/>
      <c r="E419" s="27" t="n"/>
      <c r="F419" s="27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</row>
    <row r="420" ht="11.25" customHeight="1">
      <c r="A420" s="22" t="n"/>
      <c r="B420" s="22" t="n"/>
      <c r="C420" s="22" t="n"/>
      <c r="D420" s="26" t="n"/>
      <c r="E420" s="27" t="n"/>
      <c r="F420" s="27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</row>
    <row r="421" ht="11.25" customHeight="1">
      <c r="A421" s="22" t="n"/>
      <c r="B421" s="22" t="n"/>
      <c r="C421" s="22" t="n"/>
      <c r="D421" s="26" t="n"/>
      <c r="E421" s="27" t="n"/>
      <c r="F421" s="27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</row>
    <row r="422" ht="11.25" customHeight="1">
      <c r="A422" s="22" t="n"/>
      <c r="B422" s="22" t="n"/>
      <c r="C422" s="22" t="n"/>
      <c r="D422" s="26" t="n"/>
      <c r="E422" s="27" t="n"/>
      <c r="F422" s="27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</row>
    <row r="423" ht="11.25" customHeight="1">
      <c r="A423" s="22" t="n"/>
      <c r="B423" s="22" t="n"/>
      <c r="C423" s="22" t="n"/>
      <c r="D423" s="26" t="n"/>
      <c r="E423" s="27" t="n"/>
      <c r="F423" s="27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</row>
    <row r="424" ht="11.25" customHeight="1">
      <c r="A424" s="22" t="n"/>
      <c r="B424" s="22" t="n"/>
      <c r="C424" s="22" t="n"/>
      <c r="D424" s="26" t="n"/>
      <c r="E424" s="27" t="n"/>
      <c r="F424" s="27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</row>
    <row r="425" ht="11.25" customHeight="1">
      <c r="A425" s="22" t="n"/>
      <c r="B425" s="22" t="n"/>
      <c r="C425" s="22" t="n"/>
      <c r="D425" s="26" t="n"/>
      <c r="E425" s="27" t="n"/>
      <c r="F425" s="27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</row>
    <row r="426" ht="11.25" customHeight="1">
      <c r="A426" s="22" t="n"/>
      <c r="B426" s="22" t="n"/>
      <c r="C426" s="22" t="n"/>
      <c r="D426" s="26" t="n"/>
      <c r="E426" s="27" t="n"/>
      <c r="F426" s="27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</row>
    <row r="427" ht="11.25" customHeight="1">
      <c r="A427" s="22" t="n"/>
      <c r="B427" s="22" t="n"/>
      <c r="C427" s="22" t="n"/>
      <c r="D427" s="26" t="n"/>
      <c r="E427" s="27" t="n"/>
      <c r="F427" s="27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</row>
    <row r="428" ht="11.25" customHeight="1">
      <c r="A428" s="22" t="n"/>
      <c r="B428" s="22" t="n"/>
      <c r="C428" s="22" t="n"/>
      <c r="D428" s="26" t="n"/>
      <c r="E428" s="27" t="n"/>
      <c r="F428" s="27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</row>
    <row r="429" ht="11.25" customHeight="1">
      <c r="A429" s="22" t="n"/>
      <c r="B429" s="22" t="n"/>
      <c r="C429" s="22" t="n"/>
      <c r="D429" s="26" t="n"/>
      <c r="E429" s="27" t="n"/>
      <c r="F429" s="27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</row>
    <row r="430" ht="11.25" customHeight="1">
      <c r="A430" s="22" t="n"/>
      <c r="B430" s="22" t="n"/>
      <c r="C430" s="22" t="n"/>
      <c r="D430" s="26" t="n"/>
      <c r="E430" s="27" t="n"/>
      <c r="F430" s="27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</row>
    <row r="431" ht="11.25" customHeight="1">
      <c r="A431" s="22" t="n"/>
      <c r="B431" s="22" t="n"/>
      <c r="C431" s="22" t="n"/>
      <c r="D431" s="26" t="n"/>
      <c r="E431" s="27" t="n"/>
      <c r="F431" s="27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</row>
    <row r="432" ht="11.25" customHeight="1">
      <c r="A432" s="22" t="n"/>
      <c r="B432" s="22" t="n"/>
      <c r="C432" s="22" t="n"/>
      <c r="D432" s="26" t="n"/>
      <c r="E432" s="27" t="n"/>
      <c r="F432" s="27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</row>
    <row r="433" ht="11.25" customHeight="1">
      <c r="A433" s="22" t="n"/>
      <c r="B433" s="22" t="n"/>
      <c r="C433" s="22" t="n"/>
      <c r="D433" s="26" t="n"/>
      <c r="E433" s="27" t="n"/>
      <c r="F433" s="27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</row>
    <row r="434" ht="11.25" customHeight="1">
      <c r="A434" s="22" t="n"/>
      <c r="B434" s="22" t="n"/>
      <c r="C434" s="22" t="n"/>
      <c r="D434" s="26" t="n"/>
      <c r="E434" s="27" t="n"/>
      <c r="F434" s="27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</row>
    <row r="435" ht="11.25" customHeight="1">
      <c r="A435" s="22" t="n"/>
      <c r="B435" s="22" t="n"/>
      <c r="C435" s="22" t="n"/>
      <c r="D435" s="26" t="n"/>
      <c r="E435" s="27" t="n"/>
      <c r="F435" s="27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</row>
    <row r="436" ht="11.25" customHeight="1">
      <c r="A436" s="22" t="n"/>
      <c r="B436" s="22" t="n"/>
      <c r="C436" s="22" t="n"/>
      <c r="D436" s="26" t="n"/>
      <c r="E436" s="27" t="n"/>
      <c r="F436" s="27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</row>
    <row r="437" ht="11.25" customHeight="1">
      <c r="A437" s="22" t="n"/>
      <c r="B437" s="22" t="n"/>
      <c r="C437" s="22" t="n"/>
      <c r="D437" s="26" t="n"/>
      <c r="E437" s="27" t="n"/>
      <c r="F437" s="27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</row>
    <row r="438" ht="11.25" customHeight="1">
      <c r="A438" s="22" t="n"/>
      <c r="B438" s="22" t="n"/>
      <c r="C438" s="22" t="n"/>
      <c r="D438" s="26" t="n"/>
      <c r="E438" s="27" t="n"/>
      <c r="F438" s="27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</row>
    <row r="439" ht="11.25" customHeight="1">
      <c r="A439" s="22" t="n"/>
      <c r="B439" s="22" t="n"/>
      <c r="C439" s="22" t="n"/>
      <c r="D439" s="26" t="n"/>
      <c r="E439" s="27" t="n"/>
      <c r="F439" s="27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</row>
    <row r="440" ht="11.25" customHeight="1">
      <c r="A440" s="22" t="n"/>
      <c r="B440" s="22" t="n"/>
      <c r="C440" s="22" t="n"/>
      <c r="D440" s="26" t="n"/>
      <c r="E440" s="27" t="n"/>
      <c r="F440" s="27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</row>
    <row r="441" ht="11.25" customHeight="1">
      <c r="A441" s="22" t="n"/>
      <c r="B441" s="22" t="n"/>
      <c r="C441" s="22" t="n"/>
      <c r="D441" s="26" t="n"/>
      <c r="E441" s="27" t="n"/>
      <c r="F441" s="27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</row>
    <row r="442" ht="11.25" customHeight="1">
      <c r="A442" s="22" t="n"/>
      <c r="B442" s="22" t="n"/>
      <c r="C442" s="22" t="n"/>
      <c r="D442" s="26" t="n"/>
      <c r="E442" s="27" t="n"/>
      <c r="F442" s="27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</row>
    <row r="443" ht="11.25" customHeight="1">
      <c r="A443" s="22" t="n"/>
      <c r="B443" s="22" t="n"/>
      <c r="C443" s="22" t="n"/>
      <c r="D443" s="26" t="n"/>
      <c r="E443" s="27" t="n"/>
      <c r="F443" s="27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</row>
    <row r="444" ht="11.25" customHeight="1">
      <c r="A444" s="22" t="n"/>
      <c r="B444" s="22" t="n"/>
      <c r="C444" s="22" t="n"/>
      <c r="D444" s="26" t="n"/>
      <c r="E444" s="27" t="n"/>
      <c r="F444" s="27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</row>
    <row r="445" ht="11.25" customHeight="1">
      <c r="A445" s="22" t="n"/>
      <c r="B445" s="22" t="n"/>
      <c r="C445" s="22" t="n"/>
      <c r="D445" s="26" t="n"/>
      <c r="E445" s="27" t="n"/>
      <c r="F445" s="27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</row>
    <row r="446" ht="11.25" customHeight="1">
      <c r="A446" s="22" t="n"/>
      <c r="B446" s="22" t="n"/>
      <c r="C446" s="22" t="n"/>
      <c r="D446" s="26" t="n"/>
      <c r="E446" s="27" t="n"/>
      <c r="F446" s="27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</row>
    <row r="447" ht="11.25" customHeight="1">
      <c r="A447" s="22" t="n"/>
      <c r="B447" s="22" t="n"/>
      <c r="C447" s="22" t="n"/>
      <c r="D447" s="26" t="n"/>
      <c r="E447" s="27" t="n"/>
      <c r="F447" s="27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</row>
    <row r="448" ht="11.25" customHeight="1">
      <c r="A448" s="22" t="n"/>
      <c r="B448" s="22" t="n"/>
      <c r="C448" s="22" t="n"/>
      <c r="D448" s="26" t="n"/>
      <c r="E448" s="27" t="n"/>
      <c r="F448" s="27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</row>
    <row r="449" ht="11.25" customHeight="1">
      <c r="A449" s="22" t="n"/>
      <c r="B449" s="22" t="n"/>
      <c r="C449" s="22" t="n"/>
      <c r="D449" s="26" t="n"/>
      <c r="E449" s="27" t="n"/>
      <c r="F449" s="27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</row>
    <row r="450" ht="11.25" customHeight="1">
      <c r="A450" s="22" t="n"/>
      <c r="B450" s="22" t="n"/>
      <c r="C450" s="22" t="n"/>
      <c r="D450" s="26" t="n"/>
      <c r="E450" s="27" t="n"/>
      <c r="F450" s="27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</row>
    <row r="451" ht="11.25" customHeight="1">
      <c r="A451" s="22" t="n"/>
      <c r="B451" s="22" t="n"/>
      <c r="C451" s="22" t="n"/>
      <c r="D451" s="26" t="n"/>
      <c r="E451" s="27" t="n"/>
      <c r="F451" s="27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</row>
    <row r="452" ht="11.25" customHeight="1">
      <c r="A452" s="22" t="n"/>
      <c r="B452" s="22" t="n"/>
      <c r="C452" s="22" t="n"/>
      <c r="D452" s="26" t="n"/>
      <c r="E452" s="27" t="n"/>
      <c r="F452" s="27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</row>
    <row r="453" ht="11.25" customHeight="1">
      <c r="A453" s="22" t="n"/>
      <c r="B453" s="22" t="n"/>
      <c r="C453" s="22" t="n"/>
      <c r="D453" s="26" t="n"/>
      <c r="E453" s="27" t="n"/>
      <c r="F453" s="27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</row>
    <row r="454" ht="11.25" customHeight="1">
      <c r="A454" s="22" t="n"/>
      <c r="B454" s="22" t="n"/>
      <c r="C454" s="22" t="n"/>
      <c r="D454" s="26" t="n"/>
      <c r="E454" s="27" t="n"/>
      <c r="F454" s="27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</row>
    <row r="455" ht="11.25" customHeight="1">
      <c r="A455" s="22" t="n"/>
      <c r="B455" s="22" t="n"/>
      <c r="C455" s="22" t="n"/>
      <c r="D455" s="26" t="n"/>
      <c r="E455" s="27" t="n"/>
      <c r="F455" s="27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</row>
    <row r="456" ht="11.25" customHeight="1">
      <c r="A456" s="22" t="n"/>
      <c r="B456" s="22" t="n"/>
      <c r="C456" s="22" t="n"/>
      <c r="D456" s="26" t="n"/>
      <c r="E456" s="27" t="n"/>
      <c r="F456" s="27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</row>
    <row r="457" ht="11.25" customHeight="1">
      <c r="A457" s="22" t="n"/>
      <c r="B457" s="22" t="n"/>
      <c r="C457" s="22" t="n"/>
      <c r="D457" s="26" t="n"/>
      <c r="E457" s="27" t="n"/>
      <c r="F457" s="27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</row>
    <row r="458" ht="11.25" customHeight="1">
      <c r="A458" s="22" t="n"/>
      <c r="B458" s="22" t="n"/>
      <c r="C458" s="22" t="n"/>
      <c r="D458" s="26" t="n"/>
      <c r="E458" s="27" t="n"/>
      <c r="F458" s="27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</row>
    <row r="459" ht="11.25" customHeight="1">
      <c r="A459" s="22" t="n"/>
      <c r="B459" s="22" t="n"/>
      <c r="C459" s="22" t="n"/>
      <c r="D459" s="26" t="n"/>
      <c r="E459" s="27" t="n"/>
      <c r="F459" s="27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</row>
    <row r="460" ht="11.25" customHeight="1">
      <c r="A460" s="22" t="n"/>
      <c r="B460" s="22" t="n"/>
      <c r="C460" s="22" t="n"/>
      <c r="D460" s="26" t="n"/>
      <c r="E460" s="27" t="n"/>
      <c r="F460" s="27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</row>
    <row r="461" ht="11.25" customHeight="1">
      <c r="A461" s="22" t="n"/>
      <c r="B461" s="22" t="n"/>
      <c r="C461" s="22" t="n"/>
      <c r="D461" s="26" t="n"/>
      <c r="E461" s="27" t="n"/>
      <c r="F461" s="27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</row>
    <row r="462" ht="11.25" customHeight="1">
      <c r="A462" s="22" t="n"/>
      <c r="B462" s="22" t="n"/>
      <c r="C462" s="22" t="n"/>
      <c r="D462" s="26" t="n"/>
      <c r="E462" s="27" t="n"/>
      <c r="F462" s="27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</row>
    <row r="463" ht="11.25" customHeight="1">
      <c r="A463" s="22" t="n"/>
      <c r="B463" s="22" t="n"/>
      <c r="C463" s="22" t="n"/>
      <c r="D463" s="26" t="n"/>
      <c r="E463" s="27" t="n"/>
      <c r="F463" s="27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</row>
    <row r="464" ht="11.25" customHeight="1">
      <c r="A464" s="22" t="n"/>
      <c r="B464" s="22" t="n"/>
      <c r="C464" s="22" t="n"/>
      <c r="D464" s="26" t="n"/>
      <c r="E464" s="27" t="n"/>
      <c r="F464" s="27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</row>
    <row r="465" ht="11.25" customHeight="1">
      <c r="A465" s="22" t="n"/>
      <c r="B465" s="22" t="n"/>
      <c r="C465" s="22" t="n"/>
      <c r="D465" s="26" t="n"/>
      <c r="E465" s="27" t="n"/>
      <c r="F465" s="27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</row>
    <row r="466" ht="11.25" customHeight="1">
      <c r="A466" s="22" t="n"/>
      <c r="B466" s="22" t="n"/>
      <c r="C466" s="22" t="n"/>
      <c r="D466" s="26" t="n"/>
      <c r="E466" s="27" t="n"/>
      <c r="F466" s="27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</row>
    <row r="467" ht="11.25" customHeight="1">
      <c r="A467" s="22" t="n"/>
      <c r="B467" s="22" t="n"/>
      <c r="C467" s="22" t="n"/>
      <c r="D467" s="26" t="n"/>
      <c r="E467" s="27" t="n"/>
      <c r="F467" s="27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</row>
    <row r="468" ht="11.25" customHeight="1">
      <c r="A468" s="22" t="n"/>
      <c r="B468" s="22" t="n"/>
      <c r="C468" s="22" t="n"/>
      <c r="D468" s="26" t="n"/>
      <c r="E468" s="27" t="n"/>
      <c r="F468" s="27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</row>
    <row r="469" ht="11.25" customHeight="1">
      <c r="A469" s="22" t="n"/>
      <c r="B469" s="22" t="n"/>
      <c r="C469" s="22" t="n"/>
      <c r="D469" s="26" t="n"/>
      <c r="E469" s="27" t="n"/>
      <c r="F469" s="27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</row>
    <row r="470" ht="11.25" customHeight="1">
      <c r="A470" s="22" t="n"/>
      <c r="B470" s="22" t="n"/>
      <c r="C470" s="22" t="n"/>
      <c r="D470" s="26" t="n"/>
      <c r="E470" s="27" t="n"/>
      <c r="F470" s="27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</row>
    <row r="471" ht="11.25" customHeight="1">
      <c r="A471" s="22" t="n"/>
      <c r="B471" s="22" t="n"/>
      <c r="C471" s="22" t="n"/>
      <c r="D471" s="26" t="n"/>
      <c r="E471" s="27" t="n"/>
      <c r="F471" s="27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</row>
    <row r="472" ht="11.25" customHeight="1">
      <c r="A472" s="22" t="n"/>
      <c r="B472" s="22" t="n"/>
      <c r="C472" s="22" t="n"/>
      <c r="D472" s="26" t="n"/>
      <c r="E472" s="27" t="n"/>
      <c r="F472" s="27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</row>
    <row r="473" ht="11.25" customHeight="1">
      <c r="A473" s="22" t="n"/>
      <c r="B473" s="22" t="n"/>
      <c r="C473" s="22" t="n"/>
      <c r="D473" s="26" t="n"/>
      <c r="E473" s="27" t="n"/>
      <c r="F473" s="27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</row>
    <row r="474" ht="11.25" customHeight="1">
      <c r="A474" s="22" t="n"/>
      <c r="B474" s="22" t="n"/>
      <c r="C474" s="22" t="n"/>
      <c r="D474" s="26" t="n"/>
      <c r="E474" s="27" t="n"/>
      <c r="F474" s="27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</row>
    <row r="475" ht="11.25" customHeight="1">
      <c r="A475" s="22" t="n"/>
      <c r="B475" s="22" t="n"/>
      <c r="C475" s="22" t="n"/>
      <c r="D475" s="26" t="n"/>
      <c r="E475" s="27" t="n"/>
      <c r="F475" s="27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</row>
    <row r="476" ht="11.25" customHeight="1">
      <c r="A476" s="22" t="n"/>
      <c r="B476" s="22" t="n"/>
      <c r="C476" s="22" t="n"/>
      <c r="D476" s="26" t="n"/>
      <c r="E476" s="27" t="n"/>
      <c r="F476" s="27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</row>
    <row r="477" ht="11.25" customHeight="1">
      <c r="A477" s="22" t="n"/>
      <c r="B477" s="22" t="n"/>
      <c r="C477" s="22" t="n"/>
      <c r="D477" s="26" t="n"/>
      <c r="E477" s="27" t="n"/>
      <c r="F477" s="27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</row>
    <row r="478" ht="11.25" customHeight="1">
      <c r="A478" s="22" t="n"/>
      <c r="B478" s="22" t="n"/>
      <c r="C478" s="22" t="n"/>
      <c r="D478" s="26" t="n"/>
      <c r="E478" s="27" t="n"/>
      <c r="F478" s="27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</row>
    <row r="479" ht="11.25" customHeight="1">
      <c r="A479" s="22" t="n"/>
      <c r="B479" s="22" t="n"/>
      <c r="C479" s="22" t="n"/>
      <c r="D479" s="26" t="n"/>
      <c r="E479" s="27" t="n"/>
      <c r="F479" s="27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</row>
    <row r="480" ht="11.25" customHeight="1">
      <c r="A480" s="22" t="n"/>
      <c r="B480" s="22" t="n"/>
      <c r="C480" s="22" t="n"/>
      <c r="D480" s="26" t="n"/>
      <c r="E480" s="27" t="n"/>
      <c r="F480" s="27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</row>
    <row r="481" ht="11.25" customHeight="1">
      <c r="A481" s="22" t="n"/>
      <c r="B481" s="22" t="n"/>
      <c r="C481" s="22" t="n"/>
      <c r="D481" s="26" t="n"/>
      <c r="E481" s="27" t="n"/>
      <c r="F481" s="27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</row>
    <row r="482" ht="11.25" customHeight="1">
      <c r="A482" s="22" t="n"/>
      <c r="B482" s="22" t="n"/>
      <c r="C482" s="22" t="n"/>
      <c r="D482" s="26" t="n"/>
      <c r="E482" s="27" t="n"/>
      <c r="F482" s="27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</row>
    <row r="483" ht="11.25" customHeight="1">
      <c r="A483" s="22" t="n"/>
      <c r="B483" s="22" t="n"/>
      <c r="C483" s="22" t="n"/>
      <c r="D483" s="26" t="n"/>
      <c r="E483" s="27" t="n"/>
      <c r="F483" s="27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</row>
    <row r="484" ht="11.25" customHeight="1">
      <c r="A484" s="22" t="n"/>
      <c r="B484" s="22" t="n"/>
      <c r="C484" s="22" t="n"/>
      <c r="D484" s="26" t="n"/>
      <c r="E484" s="27" t="n"/>
      <c r="F484" s="27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</row>
    <row r="485" ht="11.25" customHeight="1">
      <c r="A485" s="22" t="n"/>
      <c r="B485" s="22" t="n"/>
      <c r="C485" s="22" t="n"/>
      <c r="D485" s="26" t="n"/>
      <c r="E485" s="27" t="n"/>
      <c r="F485" s="27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</row>
    <row r="486" ht="11.25" customHeight="1">
      <c r="A486" s="22" t="n"/>
      <c r="B486" s="22" t="n"/>
      <c r="C486" s="22" t="n"/>
      <c r="D486" s="26" t="n"/>
      <c r="E486" s="27" t="n"/>
      <c r="F486" s="27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</row>
    <row r="487" ht="11.25" customHeight="1">
      <c r="A487" s="22" t="n"/>
      <c r="B487" s="22" t="n"/>
      <c r="C487" s="22" t="n"/>
      <c r="D487" s="26" t="n"/>
      <c r="E487" s="27" t="n"/>
      <c r="F487" s="27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</row>
    <row r="488" ht="11.25" customHeight="1">
      <c r="A488" s="22" t="n"/>
      <c r="B488" s="22" t="n"/>
      <c r="C488" s="22" t="n"/>
      <c r="D488" s="26" t="n"/>
      <c r="E488" s="27" t="n"/>
      <c r="F488" s="27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</row>
    <row r="489" ht="11.25" customHeight="1">
      <c r="A489" s="22" t="n"/>
      <c r="B489" s="22" t="n"/>
      <c r="C489" s="22" t="n"/>
      <c r="D489" s="26" t="n"/>
      <c r="E489" s="27" t="n"/>
      <c r="F489" s="27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</row>
    <row r="490" ht="11.25" customHeight="1">
      <c r="A490" s="22" t="n"/>
      <c r="B490" s="22" t="n"/>
      <c r="C490" s="22" t="n"/>
      <c r="D490" s="26" t="n"/>
      <c r="E490" s="27" t="n"/>
      <c r="F490" s="27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</row>
    <row r="491" ht="11.25" customHeight="1">
      <c r="A491" s="22" t="n"/>
      <c r="B491" s="22" t="n"/>
      <c r="C491" s="22" t="n"/>
      <c r="D491" s="26" t="n"/>
      <c r="E491" s="27" t="n"/>
      <c r="F491" s="27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</row>
    <row r="492" ht="11.25" customHeight="1">
      <c r="A492" s="22" t="n"/>
      <c r="B492" s="22" t="n"/>
      <c r="C492" s="22" t="n"/>
      <c r="D492" s="26" t="n"/>
      <c r="E492" s="27" t="n"/>
      <c r="F492" s="27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</row>
    <row r="493" ht="11.25" customHeight="1">
      <c r="A493" s="22" t="n"/>
      <c r="B493" s="22" t="n"/>
      <c r="C493" s="22" t="n"/>
      <c r="D493" s="26" t="n"/>
      <c r="E493" s="27" t="n"/>
      <c r="F493" s="27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</row>
    <row r="494" ht="11.25" customHeight="1">
      <c r="A494" s="22" t="n"/>
      <c r="B494" s="22" t="n"/>
      <c r="C494" s="22" t="n"/>
      <c r="D494" s="26" t="n"/>
      <c r="E494" s="27" t="n"/>
      <c r="F494" s="27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</row>
    <row r="495" ht="11.25" customHeight="1">
      <c r="A495" s="22" t="n"/>
      <c r="B495" s="22" t="n"/>
      <c r="C495" s="22" t="n"/>
      <c r="D495" s="26" t="n"/>
      <c r="E495" s="27" t="n"/>
      <c r="F495" s="27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</row>
    <row r="496" ht="11.25" customHeight="1">
      <c r="A496" s="22" t="n"/>
      <c r="B496" s="22" t="n"/>
      <c r="C496" s="22" t="n"/>
      <c r="D496" s="26" t="n"/>
      <c r="E496" s="27" t="n"/>
      <c r="F496" s="27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</row>
    <row r="497" ht="11.25" customHeight="1">
      <c r="A497" s="22" t="n"/>
      <c r="B497" s="22" t="n"/>
      <c r="C497" s="22" t="n"/>
      <c r="D497" s="26" t="n"/>
      <c r="E497" s="27" t="n"/>
      <c r="F497" s="27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</row>
    <row r="498" ht="11.25" customHeight="1">
      <c r="A498" s="22" t="n"/>
      <c r="B498" s="22" t="n"/>
      <c r="C498" s="22" t="n"/>
      <c r="D498" s="26" t="n"/>
      <c r="E498" s="27" t="n"/>
      <c r="F498" s="27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</row>
    <row r="499" ht="11.25" customHeight="1">
      <c r="A499" s="22" t="n"/>
      <c r="B499" s="22" t="n"/>
      <c r="C499" s="22" t="n"/>
      <c r="D499" s="26" t="n"/>
      <c r="E499" s="27" t="n"/>
      <c r="F499" s="27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</row>
    <row r="500" ht="11.25" customHeight="1">
      <c r="A500" s="22" t="n"/>
      <c r="B500" s="22" t="n"/>
      <c r="C500" s="22" t="n"/>
      <c r="D500" s="26" t="n"/>
      <c r="E500" s="27" t="n"/>
      <c r="F500" s="27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</row>
    <row r="501" ht="11.25" customHeight="1">
      <c r="A501" s="22" t="n"/>
      <c r="B501" s="22" t="n"/>
      <c r="C501" s="22" t="n"/>
      <c r="D501" s="26" t="n"/>
      <c r="E501" s="27" t="n"/>
      <c r="F501" s="27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</row>
    <row r="502" ht="11.25" customHeight="1">
      <c r="A502" s="22" t="n"/>
      <c r="B502" s="22" t="n"/>
      <c r="C502" s="22" t="n"/>
      <c r="D502" s="26" t="n"/>
      <c r="E502" s="27" t="n"/>
      <c r="F502" s="27" t="n"/>
      <c r="G502" s="22" t="n"/>
      <c r="H502" s="22" t="n"/>
      <c r="I502" s="22" t="n"/>
      <c r="J502" s="22" t="n"/>
      <c r="K502" s="22" t="n"/>
      <c r="L502" s="22" t="n"/>
      <c r="M502" s="22" t="n"/>
      <c r="N502" s="22" t="n"/>
      <c r="O502" s="22" t="n"/>
      <c r="P502" s="22" t="n"/>
      <c r="Q502" s="22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  <c r="AA502" s="22" t="n"/>
    </row>
    <row r="503" ht="11.25" customHeight="1">
      <c r="A503" s="22" t="n"/>
      <c r="B503" s="22" t="n"/>
      <c r="C503" s="22" t="n"/>
      <c r="D503" s="26" t="n"/>
      <c r="E503" s="27" t="n"/>
      <c r="F503" s="27" t="n"/>
      <c r="G503" s="22" t="n"/>
      <c r="H503" s="22" t="n"/>
      <c r="I503" s="22" t="n"/>
      <c r="J503" s="22" t="n"/>
      <c r="K503" s="22" t="n"/>
      <c r="L503" s="22" t="n"/>
      <c r="M503" s="22" t="n"/>
      <c r="N503" s="22" t="n"/>
      <c r="O503" s="22" t="n"/>
      <c r="P503" s="22" t="n"/>
      <c r="Q503" s="22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  <c r="AA503" s="22" t="n"/>
    </row>
    <row r="504" ht="11.25" customHeight="1">
      <c r="A504" s="22" t="n"/>
      <c r="B504" s="22" t="n"/>
      <c r="C504" s="22" t="n"/>
      <c r="D504" s="26" t="n"/>
      <c r="E504" s="27" t="n"/>
      <c r="F504" s="27" t="n"/>
      <c r="G504" s="22" t="n"/>
      <c r="H504" s="22" t="n"/>
      <c r="I504" s="22" t="n"/>
      <c r="J504" s="22" t="n"/>
      <c r="K504" s="22" t="n"/>
      <c r="L504" s="22" t="n"/>
      <c r="M504" s="22" t="n"/>
      <c r="N504" s="22" t="n"/>
      <c r="O504" s="22" t="n"/>
      <c r="P504" s="22" t="n"/>
      <c r="Q504" s="22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  <c r="AA504" s="22" t="n"/>
    </row>
    <row r="505" ht="11.25" customHeight="1">
      <c r="A505" s="22" t="n"/>
      <c r="B505" s="22" t="n"/>
      <c r="C505" s="22" t="n"/>
      <c r="D505" s="26" t="n"/>
      <c r="E505" s="27" t="n"/>
      <c r="F505" s="27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  <c r="AA505" s="22" t="n"/>
    </row>
    <row r="506" ht="11.25" customHeight="1">
      <c r="A506" s="22" t="n"/>
      <c r="B506" s="22" t="n"/>
      <c r="C506" s="22" t="n"/>
      <c r="D506" s="26" t="n"/>
      <c r="E506" s="27" t="n"/>
      <c r="F506" s="27" t="n"/>
      <c r="G506" s="22" t="n"/>
      <c r="H506" s="22" t="n"/>
      <c r="I506" s="22" t="n"/>
      <c r="J506" s="22" t="n"/>
      <c r="K506" s="22" t="n"/>
      <c r="L506" s="22" t="n"/>
      <c r="M506" s="22" t="n"/>
      <c r="N506" s="22" t="n"/>
      <c r="O506" s="22" t="n"/>
      <c r="P506" s="22" t="n"/>
      <c r="Q506" s="22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  <c r="AA506" s="22" t="n"/>
    </row>
    <row r="507" ht="11.25" customHeight="1">
      <c r="A507" s="22" t="n"/>
      <c r="B507" s="22" t="n"/>
      <c r="C507" s="22" t="n"/>
      <c r="D507" s="26" t="n"/>
      <c r="E507" s="27" t="n"/>
      <c r="F507" s="27" t="n"/>
      <c r="G507" s="22" t="n"/>
      <c r="H507" s="22" t="n"/>
      <c r="I507" s="22" t="n"/>
      <c r="J507" s="22" t="n"/>
      <c r="K507" s="22" t="n"/>
      <c r="L507" s="22" t="n"/>
      <c r="M507" s="22" t="n"/>
      <c r="N507" s="22" t="n"/>
      <c r="O507" s="22" t="n"/>
      <c r="P507" s="22" t="n"/>
      <c r="Q507" s="22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  <c r="AA507" s="22" t="n"/>
    </row>
    <row r="508" ht="11.25" customHeight="1">
      <c r="A508" s="22" t="n"/>
      <c r="B508" s="22" t="n"/>
      <c r="C508" s="22" t="n"/>
      <c r="D508" s="26" t="n"/>
      <c r="E508" s="27" t="n"/>
      <c r="F508" s="27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  <c r="AA508" s="22" t="n"/>
    </row>
    <row r="509" ht="11.25" customHeight="1">
      <c r="A509" s="22" t="n"/>
      <c r="B509" s="22" t="n"/>
      <c r="C509" s="22" t="n"/>
      <c r="D509" s="26" t="n"/>
      <c r="E509" s="27" t="n"/>
      <c r="F509" s="27" t="n"/>
      <c r="G509" s="22" t="n"/>
      <c r="H509" s="22" t="n"/>
      <c r="I509" s="22" t="n"/>
      <c r="J509" s="22" t="n"/>
      <c r="K509" s="22" t="n"/>
      <c r="L509" s="22" t="n"/>
      <c r="M509" s="22" t="n"/>
      <c r="N509" s="22" t="n"/>
      <c r="O509" s="22" t="n"/>
      <c r="P509" s="22" t="n"/>
      <c r="Q509" s="22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  <c r="AA509" s="22" t="n"/>
    </row>
    <row r="510" ht="11.25" customHeight="1">
      <c r="A510" s="22" t="n"/>
      <c r="B510" s="22" t="n"/>
      <c r="C510" s="22" t="n"/>
      <c r="D510" s="26" t="n"/>
      <c r="E510" s="27" t="n"/>
      <c r="F510" s="27" t="n"/>
      <c r="G510" s="22" t="n"/>
      <c r="H510" s="22" t="n"/>
      <c r="I510" s="22" t="n"/>
      <c r="J510" s="22" t="n"/>
      <c r="K510" s="22" t="n"/>
      <c r="L510" s="22" t="n"/>
      <c r="M510" s="22" t="n"/>
      <c r="N510" s="22" t="n"/>
      <c r="O510" s="22" t="n"/>
      <c r="P510" s="22" t="n"/>
      <c r="Q510" s="22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  <c r="AA510" s="22" t="n"/>
    </row>
    <row r="511" ht="11.25" customHeight="1">
      <c r="A511" s="22" t="n"/>
      <c r="B511" s="22" t="n"/>
      <c r="C511" s="22" t="n"/>
      <c r="D511" s="26" t="n"/>
      <c r="E511" s="27" t="n"/>
      <c r="F511" s="27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  <c r="AA511" s="22" t="n"/>
    </row>
    <row r="512" ht="11.25" customHeight="1">
      <c r="A512" s="22" t="n"/>
      <c r="B512" s="22" t="n"/>
      <c r="C512" s="22" t="n"/>
      <c r="D512" s="26" t="n"/>
      <c r="E512" s="27" t="n"/>
      <c r="F512" s="27" t="n"/>
      <c r="G512" s="22" t="n"/>
      <c r="H512" s="22" t="n"/>
      <c r="I512" s="22" t="n"/>
      <c r="J512" s="22" t="n"/>
      <c r="K512" s="22" t="n"/>
      <c r="L512" s="22" t="n"/>
      <c r="M512" s="22" t="n"/>
      <c r="N512" s="22" t="n"/>
      <c r="O512" s="22" t="n"/>
      <c r="P512" s="22" t="n"/>
      <c r="Q512" s="22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  <c r="AA512" s="22" t="n"/>
    </row>
    <row r="513" ht="11.25" customHeight="1">
      <c r="A513" s="22" t="n"/>
      <c r="B513" s="22" t="n"/>
      <c r="C513" s="22" t="n"/>
      <c r="D513" s="26" t="n"/>
      <c r="E513" s="27" t="n"/>
      <c r="F513" s="27" t="n"/>
      <c r="G513" s="22" t="n"/>
      <c r="H513" s="22" t="n"/>
      <c r="I513" s="22" t="n"/>
      <c r="J513" s="22" t="n"/>
      <c r="K513" s="22" t="n"/>
      <c r="L513" s="22" t="n"/>
      <c r="M513" s="22" t="n"/>
      <c r="N513" s="22" t="n"/>
      <c r="O513" s="22" t="n"/>
      <c r="P513" s="22" t="n"/>
      <c r="Q513" s="22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  <c r="AA513" s="22" t="n"/>
    </row>
    <row r="514" ht="11.25" customHeight="1">
      <c r="A514" s="22" t="n"/>
      <c r="B514" s="22" t="n"/>
      <c r="C514" s="22" t="n"/>
      <c r="D514" s="26" t="n"/>
      <c r="E514" s="27" t="n"/>
      <c r="F514" s="27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  <c r="AA514" s="22" t="n"/>
    </row>
    <row r="515" ht="11.25" customHeight="1">
      <c r="A515" s="22" t="n"/>
      <c r="B515" s="22" t="n"/>
      <c r="C515" s="22" t="n"/>
      <c r="D515" s="26" t="n"/>
      <c r="E515" s="27" t="n"/>
      <c r="F515" s="27" t="n"/>
      <c r="G515" s="22" t="n"/>
      <c r="H515" s="22" t="n"/>
      <c r="I515" s="22" t="n"/>
      <c r="J515" s="22" t="n"/>
      <c r="K515" s="22" t="n"/>
      <c r="L515" s="22" t="n"/>
      <c r="M515" s="22" t="n"/>
      <c r="N515" s="22" t="n"/>
      <c r="O515" s="22" t="n"/>
      <c r="P515" s="22" t="n"/>
      <c r="Q515" s="22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  <c r="AA515" s="22" t="n"/>
    </row>
    <row r="516" ht="11.25" customHeight="1">
      <c r="A516" s="22" t="n"/>
      <c r="B516" s="22" t="n"/>
      <c r="C516" s="22" t="n"/>
      <c r="D516" s="26" t="n"/>
      <c r="E516" s="27" t="n"/>
      <c r="F516" s="27" t="n"/>
      <c r="G516" s="22" t="n"/>
      <c r="H516" s="22" t="n"/>
      <c r="I516" s="22" t="n"/>
      <c r="J516" s="22" t="n"/>
      <c r="K516" s="22" t="n"/>
      <c r="L516" s="22" t="n"/>
      <c r="M516" s="22" t="n"/>
      <c r="N516" s="22" t="n"/>
      <c r="O516" s="22" t="n"/>
      <c r="P516" s="22" t="n"/>
      <c r="Q516" s="22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  <c r="AA516" s="22" t="n"/>
    </row>
    <row r="517" ht="11.25" customHeight="1">
      <c r="A517" s="22" t="n"/>
      <c r="B517" s="22" t="n"/>
      <c r="C517" s="22" t="n"/>
      <c r="D517" s="26" t="n"/>
      <c r="E517" s="27" t="n"/>
      <c r="F517" s="27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  <c r="AA517" s="22" t="n"/>
    </row>
    <row r="518" ht="11.25" customHeight="1">
      <c r="A518" s="22" t="n"/>
      <c r="B518" s="22" t="n"/>
      <c r="C518" s="22" t="n"/>
      <c r="D518" s="26" t="n"/>
      <c r="E518" s="27" t="n"/>
      <c r="F518" s="27" t="n"/>
      <c r="G518" s="22" t="n"/>
      <c r="H518" s="22" t="n"/>
      <c r="I518" s="22" t="n"/>
      <c r="J518" s="22" t="n"/>
      <c r="K518" s="22" t="n"/>
      <c r="L518" s="22" t="n"/>
      <c r="M518" s="22" t="n"/>
      <c r="N518" s="22" t="n"/>
      <c r="O518" s="22" t="n"/>
      <c r="P518" s="22" t="n"/>
      <c r="Q518" s="22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  <c r="AA518" s="22" t="n"/>
    </row>
    <row r="519" ht="11.25" customHeight="1">
      <c r="A519" s="22" t="n"/>
      <c r="B519" s="22" t="n"/>
      <c r="C519" s="22" t="n"/>
      <c r="D519" s="26" t="n"/>
      <c r="E519" s="27" t="n"/>
      <c r="F519" s="27" t="n"/>
      <c r="G519" s="22" t="n"/>
      <c r="H519" s="22" t="n"/>
      <c r="I519" s="22" t="n"/>
      <c r="J519" s="22" t="n"/>
      <c r="K519" s="22" t="n"/>
      <c r="L519" s="22" t="n"/>
      <c r="M519" s="22" t="n"/>
      <c r="N519" s="22" t="n"/>
      <c r="O519" s="22" t="n"/>
      <c r="P519" s="22" t="n"/>
      <c r="Q519" s="22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  <c r="AA519" s="22" t="n"/>
    </row>
    <row r="520" ht="11.25" customHeight="1">
      <c r="A520" s="22" t="n"/>
      <c r="B520" s="22" t="n"/>
      <c r="C520" s="22" t="n"/>
      <c r="D520" s="26" t="n"/>
      <c r="E520" s="27" t="n"/>
      <c r="F520" s="27" t="n"/>
      <c r="G520" s="22" t="n"/>
      <c r="H520" s="22" t="n"/>
      <c r="I520" s="22" t="n"/>
      <c r="J520" s="22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  <c r="AA520" s="22" t="n"/>
    </row>
    <row r="521" ht="11.25" customHeight="1">
      <c r="A521" s="22" t="n"/>
      <c r="B521" s="22" t="n"/>
      <c r="C521" s="22" t="n"/>
      <c r="D521" s="26" t="n"/>
      <c r="E521" s="27" t="n"/>
      <c r="F521" s="27" t="n"/>
      <c r="G521" s="22" t="n"/>
      <c r="H521" s="22" t="n"/>
      <c r="I521" s="22" t="n"/>
      <c r="J521" s="22" t="n"/>
      <c r="K521" s="22" t="n"/>
      <c r="L521" s="22" t="n"/>
      <c r="M521" s="22" t="n"/>
      <c r="N521" s="22" t="n"/>
      <c r="O521" s="22" t="n"/>
      <c r="P521" s="22" t="n"/>
      <c r="Q521" s="22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  <c r="AA521" s="22" t="n"/>
    </row>
    <row r="522" ht="11.25" customHeight="1">
      <c r="A522" s="22" t="n"/>
      <c r="B522" s="22" t="n"/>
      <c r="C522" s="22" t="n"/>
      <c r="D522" s="26" t="n"/>
      <c r="E522" s="27" t="n"/>
      <c r="F522" s="27" t="n"/>
      <c r="G522" s="22" t="n"/>
      <c r="H522" s="22" t="n"/>
      <c r="I522" s="22" t="n"/>
      <c r="J522" s="22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  <c r="AA522" s="22" t="n"/>
    </row>
    <row r="523" ht="11.25" customHeight="1">
      <c r="A523" s="22" t="n"/>
      <c r="B523" s="22" t="n"/>
      <c r="C523" s="22" t="n"/>
      <c r="D523" s="26" t="n"/>
      <c r="E523" s="27" t="n"/>
      <c r="F523" s="27" t="n"/>
      <c r="G523" s="22" t="n"/>
      <c r="H523" s="22" t="n"/>
      <c r="I523" s="22" t="n"/>
      <c r="J523" s="22" t="n"/>
      <c r="K523" s="22" t="n"/>
      <c r="L523" s="22" t="n"/>
      <c r="M523" s="22" t="n"/>
      <c r="N523" s="22" t="n"/>
      <c r="O523" s="22" t="n"/>
      <c r="P523" s="22" t="n"/>
      <c r="Q523" s="22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  <c r="AA523" s="22" t="n"/>
    </row>
    <row r="524" ht="11.25" customHeight="1">
      <c r="A524" s="22" t="n"/>
      <c r="B524" s="22" t="n"/>
      <c r="C524" s="22" t="n"/>
      <c r="D524" s="26" t="n"/>
      <c r="E524" s="27" t="n"/>
      <c r="F524" s="27" t="n"/>
      <c r="G524" s="22" t="n"/>
      <c r="H524" s="22" t="n"/>
      <c r="I524" s="22" t="n"/>
      <c r="J524" s="22" t="n"/>
      <c r="K524" s="22" t="n"/>
      <c r="L524" s="22" t="n"/>
      <c r="M524" s="22" t="n"/>
      <c r="N524" s="22" t="n"/>
      <c r="O524" s="22" t="n"/>
      <c r="P524" s="22" t="n"/>
      <c r="Q524" s="22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  <c r="AA524" s="22" t="n"/>
    </row>
    <row r="525" ht="11.25" customHeight="1">
      <c r="A525" s="22" t="n"/>
      <c r="B525" s="22" t="n"/>
      <c r="C525" s="22" t="n"/>
      <c r="D525" s="26" t="n"/>
      <c r="E525" s="27" t="n"/>
      <c r="F525" s="27" t="n"/>
      <c r="G525" s="22" t="n"/>
      <c r="H525" s="22" t="n"/>
      <c r="I525" s="22" t="n"/>
      <c r="J525" s="22" t="n"/>
      <c r="K525" s="22" t="n"/>
      <c r="L525" s="22" t="n"/>
      <c r="M525" s="22" t="n"/>
      <c r="N525" s="22" t="n"/>
      <c r="O525" s="22" t="n"/>
      <c r="P525" s="22" t="n"/>
      <c r="Q525" s="22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  <c r="AA525" s="22" t="n"/>
    </row>
    <row r="526" ht="11.25" customHeight="1">
      <c r="A526" s="22" t="n"/>
      <c r="B526" s="22" t="n"/>
      <c r="C526" s="22" t="n"/>
      <c r="D526" s="26" t="n"/>
      <c r="E526" s="27" t="n"/>
      <c r="F526" s="27" t="n"/>
      <c r="G526" s="22" t="n"/>
      <c r="H526" s="22" t="n"/>
      <c r="I526" s="22" t="n"/>
      <c r="J526" s="22" t="n"/>
      <c r="K526" s="22" t="n"/>
      <c r="L526" s="22" t="n"/>
      <c r="M526" s="22" t="n"/>
      <c r="N526" s="22" t="n"/>
      <c r="O526" s="22" t="n"/>
      <c r="P526" s="22" t="n"/>
      <c r="Q526" s="22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  <c r="AA526" s="22" t="n"/>
    </row>
    <row r="527" ht="11.25" customHeight="1">
      <c r="A527" s="22" t="n"/>
      <c r="B527" s="22" t="n"/>
      <c r="C527" s="22" t="n"/>
      <c r="D527" s="26" t="n"/>
      <c r="E527" s="27" t="n"/>
      <c r="F527" s="27" t="n"/>
      <c r="G527" s="22" t="n"/>
      <c r="H527" s="22" t="n"/>
      <c r="I527" s="22" t="n"/>
      <c r="J527" s="22" t="n"/>
      <c r="K527" s="22" t="n"/>
      <c r="L527" s="22" t="n"/>
      <c r="M527" s="22" t="n"/>
      <c r="N527" s="22" t="n"/>
      <c r="O527" s="22" t="n"/>
      <c r="P527" s="22" t="n"/>
      <c r="Q527" s="22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  <c r="AA527" s="22" t="n"/>
    </row>
    <row r="528" ht="11.25" customHeight="1">
      <c r="A528" s="22" t="n"/>
      <c r="B528" s="22" t="n"/>
      <c r="C528" s="22" t="n"/>
      <c r="D528" s="26" t="n"/>
      <c r="E528" s="27" t="n"/>
      <c r="F528" s="27" t="n"/>
      <c r="G528" s="22" t="n"/>
      <c r="H528" s="22" t="n"/>
      <c r="I528" s="22" t="n"/>
      <c r="J528" s="22" t="n"/>
      <c r="K528" s="22" t="n"/>
      <c r="L528" s="22" t="n"/>
      <c r="M528" s="22" t="n"/>
      <c r="N528" s="22" t="n"/>
      <c r="O528" s="22" t="n"/>
      <c r="P528" s="22" t="n"/>
      <c r="Q528" s="22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  <c r="AA528" s="22" t="n"/>
    </row>
    <row r="529" ht="11.25" customHeight="1">
      <c r="A529" s="22" t="n"/>
      <c r="B529" s="22" t="n"/>
      <c r="C529" s="22" t="n"/>
      <c r="D529" s="26" t="n"/>
      <c r="E529" s="27" t="n"/>
      <c r="F529" s="27" t="n"/>
      <c r="G529" s="22" t="n"/>
      <c r="H529" s="22" t="n"/>
      <c r="I529" s="22" t="n"/>
      <c r="J529" s="22" t="n"/>
      <c r="K529" s="22" t="n"/>
      <c r="L529" s="22" t="n"/>
      <c r="M529" s="22" t="n"/>
      <c r="N529" s="22" t="n"/>
      <c r="O529" s="22" t="n"/>
      <c r="P529" s="22" t="n"/>
      <c r="Q529" s="22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  <c r="AA529" s="22" t="n"/>
    </row>
    <row r="530" ht="11.25" customHeight="1">
      <c r="A530" s="22" t="n"/>
      <c r="B530" s="22" t="n"/>
      <c r="C530" s="22" t="n"/>
      <c r="D530" s="26" t="n"/>
      <c r="E530" s="27" t="n"/>
      <c r="F530" s="27" t="n"/>
      <c r="G530" s="22" t="n"/>
      <c r="H530" s="22" t="n"/>
      <c r="I530" s="22" t="n"/>
      <c r="J530" s="22" t="n"/>
      <c r="K530" s="22" t="n"/>
      <c r="L530" s="22" t="n"/>
      <c r="M530" s="22" t="n"/>
      <c r="N530" s="22" t="n"/>
      <c r="O530" s="22" t="n"/>
      <c r="P530" s="22" t="n"/>
      <c r="Q530" s="22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  <c r="AA530" s="22" t="n"/>
    </row>
    <row r="531" ht="11.25" customHeight="1">
      <c r="A531" s="22" t="n"/>
      <c r="B531" s="22" t="n"/>
      <c r="C531" s="22" t="n"/>
      <c r="D531" s="26" t="n"/>
      <c r="E531" s="27" t="n"/>
      <c r="F531" s="27" t="n"/>
      <c r="G531" s="22" t="n"/>
      <c r="H531" s="22" t="n"/>
      <c r="I531" s="22" t="n"/>
      <c r="J531" s="22" t="n"/>
      <c r="K531" s="22" t="n"/>
      <c r="L531" s="22" t="n"/>
      <c r="M531" s="22" t="n"/>
      <c r="N531" s="22" t="n"/>
      <c r="O531" s="22" t="n"/>
      <c r="P531" s="22" t="n"/>
      <c r="Q531" s="22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  <c r="AA531" s="22" t="n"/>
    </row>
    <row r="532" ht="11.25" customHeight="1">
      <c r="A532" s="22" t="n"/>
      <c r="B532" s="22" t="n"/>
      <c r="C532" s="22" t="n"/>
      <c r="D532" s="26" t="n"/>
      <c r="E532" s="27" t="n"/>
      <c r="F532" s="27" t="n"/>
      <c r="G532" s="22" t="n"/>
      <c r="H532" s="22" t="n"/>
      <c r="I532" s="22" t="n"/>
      <c r="J532" s="22" t="n"/>
      <c r="K532" s="22" t="n"/>
      <c r="L532" s="22" t="n"/>
      <c r="M532" s="22" t="n"/>
      <c r="N532" s="22" t="n"/>
      <c r="O532" s="22" t="n"/>
      <c r="P532" s="22" t="n"/>
      <c r="Q532" s="22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  <c r="AA532" s="22" t="n"/>
    </row>
    <row r="533" ht="11.25" customHeight="1">
      <c r="A533" s="22" t="n"/>
      <c r="B533" s="22" t="n"/>
      <c r="C533" s="22" t="n"/>
      <c r="D533" s="26" t="n"/>
      <c r="E533" s="27" t="n"/>
      <c r="F533" s="27" t="n"/>
      <c r="G533" s="22" t="n"/>
      <c r="H533" s="22" t="n"/>
      <c r="I533" s="22" t="n"/>
      <c r="J533" s="22" t="n"/>
      <c r="K533" s="22" t="n"/>
      <c r="L533" s="22" t="n"/>
      <c r="M533" s="22" t="n"/>
      <c r="N533" s="22" t="n"/>
      <c r="O533" s="22" t="n"/>
      <c r="P533" s="22" t="n"/>
      <c r="Q533" s="22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  <c r="AA533" s="22" t="n"/>
    </row>
    <row r="534" ht="11.25" customHeight="1">
      <c r="A534" s="22" t="n"/>
      <c r="B534" s="22" t="n"/>
      <c r="C534" s="22" t="n"/>
      <c r="D534" s="26" t="n"/>
      <c r="E534" s="27" t="n"/>
      <c r="F534" s="27" t="n"/>
      <c r="G534" s="22" t="n"/>
      <c r="H534" s="22" t="n"/>
      <c r="I534" s="22" t="n"/>
      <c r="J534" s="22" t="n"/>
      <c r="K534" s="22" t="n"/>
      <c r="L534" s="22" t="n"/>
      <c r="M534" s="22" t="n"/>
      <c r="N534" s="22" t="n"/>
      <c r="O534" s="22" t="n"/>
      <c r="P534" s="22" t="n"/>
      <c r="Q534" s="22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  <c r="AA534" s="22" t="n"/>
    </row>
    <row r="535" ht="11.25" customHeight="1">
      <c r="A535" s="22" t="n"/>
      <c r="B535" s="22" t="n"/>
      <c r="C535" s="22" t="n"/>
      <c r="D535" s="26" t="n"/>
      <c r="E535" s="27" t="n"/>
      <c r="F535" s="27" t="n"/>
      <c r="G535" s="22" t="n"/>
      <c r="H535" s="22" t="n"/>
      <c r="I535" s="22" t="n"/>
      <c r="J535" s="22" t="n"/>
      <c r="K535" s="22" t="n"/>
      <c r="L535" s="22" t="n"/>
      <c r="M535" s="22" t="n"/>
      <c r="N535" s="22" t="n"/>
      <c r="O535" s="22" t="n"/>
      <c r="P535" s="22" t="n"/>
      <c r="Q535" s="22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  <c r="AA535" s="22" t="n"/>
    </row>
    <row r="536" ht="11.25" customHeight="1">
      <c r="A536" s="22" t="n"/>
      <c r="B536" s="22" t="n"/>
      <c r="C536" s="22" t="n"/>
      <c r="D536" s="26" t="n"/>
      <c r="E536" s="27" t="n"/>
      <c r="F536" s="27" t="n"/>
      <c r="G536" s="22" t="n"/>
      <c r="H536" s="22" t="n"/>
      <c r="I536" s="22" t="n"/>
      <c r="J536" s="22" t="n"/>
      <c r="K536" s="22" t="n"/>
      <c r="L536" s="22" t="n"/>
      <c r="M536" s="22" t="n"/>
      <c r="N536" s="22" t="n"/>
      <c r="O536" s="22" t="n"/>
      <c r="P536" s="22" t="n"/>
      <c r="Q536" s="22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  <c r="AA536" s="22" t="n"/>
    </row>
    <row r="537" ht="11.25" customHeight="1">
      <c r="A537" s="22" t="n"/>
      <c r="B537" s="22" t="n"/>
      <c r="C537" s="22" t="n"/>
      <c r="D537" s="26" t="n"/>
      <c r="E537" s="27" t="n"/>
      <c r="F537" s="27" t="n"/>
      <c r="G537" s="22" t="n"/>
      <c r="H537" s="22" t="n"/>
      <c r="I537" s="22" t="n"/>
      <c r="J537" s="22" t="n"/>
      <c r="K537" s="22" t="n"/>
      <c r="L537" s="22" t="n"/>
      <c r="M537" s="22" t="n"/>
      <c r="N537" s="22" t="n"/>
      <c r="O537" s="22" t="n"/>
      <c r="P537" s="22" t="n"/>
      <c r="Q537" s="22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  <c r="AA537" s="22" t="n"/>
    </row>
    <row r="538" ht="11.25" customHeight="1">
      <c r="A538" s="22" t="n"/>
      <c r="B538" s="22" t="n"/>
      <c r="C538" s="22" t="n"/>
      <c r="D538" s="26" t="n"/>
      <c r="E538" s="27" t="n"/>
      <c r="F538" s="27" t="n"/>
      <c r="G538" s="22" t="n"/>
      <c r="H538" s="22" t="n"/>
      <c r="I538" s="22" t="n"/>
      <c r="J538" s="22" t="n"/>
      <c r="K538" s="22" t="n"/>
      <c r="L538" s="22" t="n"/>
      <c r="M538" s="22" t="n"/>
      <c r="N538" s="22" t="n"/>
      <c r="O538" s="22" t="n"/>
      <c r="P538" s="22" t="n"/>
      <c r="Q538" s="22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  <c r="AA538" s="22" t="n"/>
    </row>
    <row r="539" ht="11.25" customHeight="1">
      <c r="A539" s="22" t="n"/>
      <c r="B539" s="22" t="n"/>
      <c r="C539" s="22" t="n"/>
      <c r="D539" s="26" t="n"/>
      <c r="E539" s="27" t="n"/>
      <c r="F539" s="27" t="n"/>
      <c r="G539" s="22" t="n"/>
      <c r="H539" s="22" t="n"/>
      <c r="I539" s="22" t="n"/>
      <c r="J539" s="22" t="n"/>
      <c r="K539" s="22" t="n"/>
      <c r="L539" s="22" t="n"/>
      <c r="M539" s="22" t="n"/>
      <c r="N539" s="22" t="n"/>
      <c r="O539" s="22" t="n"/>
      <c r="P539" s="22" t="n"/>
      <c r="Q539" s="22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  <c r="AA539" s="22" t="n"/>
    </row>
    <row r="540" ht="11.25" customHeight="1">
      <c r="A540" s="22" t="n"/>
      <c r="B540" s="22" t="n"/>
      <c r="C540" s="22" t="n"/>
      <c r="D540" s="26" t="n"/>
      <c r="E540" s="27" t="n"/>
      <c r="F540" s="27" t="n"/>
      <c r="G540" s="22" t="n"/>
      <c r="H540" s="22" t="n"/>
      <c r="I540" s="22" t="n"/>
      <c r="J540" s="22" t="n"/>
      <c r="K540" s="22" t="n"/>
      <c r="L540" s="22" t="n"/>
      <c r="M540" s="22" t="n"/>
      <c r="N540" s="22" t="n"/>
      <c r="O540" s="22" t="n"/>
      <c r="P540" s="22" t="n"/>
      <c r="Q540" s="22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  <c r="AA540" s="22" t="n"/>
    </row>
    <row r="541" ht="11.25" customHeight="1">
      <c r="A541" s="22" t="n"/>
      <c r="B541" s="22" t="n"/>
      <c r="C541" s="22" t="n"/>
      <c r="D541" s="26" t="n"/>
      <c r="E541" s="27" t="n"/>
      <c r="F541" s="27" t="n"/>
      <c r="G541" s="22" t="n"/>
      <c r="H541" s="22" t="n"/>
      <c r="I541" s="22" t="n"/>
      <c r="J541" s="22" t="n"/>
      <c r="K541" s="22" t="n"/>
      <c r="L541" s="22" t="n"/>
      <c r="M541" s="22" t="n"/>
      <c r="N541" s="22" t="n"/>
      <c r="O541" s="22" t="n"/>
      <c r="P541" s="22" t="n"/>
      <c r="Q541" s="22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  <c r="AA541" s="22" t="n"/>
    </row>
    <row r="542" ht="11.25" customHeight="1">
      <c r="A542" s="22" t="n"/>
      <c r="B542" s="22" t="n"/>
      <c r="C542" s="22" t="n"/>
      <c r="D542" s="26" t="n"/>
      <c r="E542" s="27" t="n"/>
      <c r="F542" s="27" t="n"/>
      <c r="G542" s="22" t="n"/>
      <c r="H542" s="22" t="n"/>
      <c r="I542" s="22" t="n"/>
      <c r="J542" s="22" t="n"/>
      <c r="K542" s="22" t="n"/>
      <c r="L542" s="22" t="n"/>
      <c r="M542" s="22" t="n"/>
      <c r="N542" s="22" t="n"/>
      <c r="O542" s="22" t="n"/>
      <c r="P542" s="22" t="n"/>
      <c r="Q542" s="22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  <c r="AA542" s="22" t="n"/>
    </row>
    <row r="543" ht="11.25" customHeight="1">
      <c r="A543" s="22" t="n"/>
      <c r="B543" s="22" t="n"/>
      <c r="C543" s="22" t="n"/>
      <c r="D543" s="26" t="n"/>
      <c r="E543" s="27" t="n"/>
      <c r="F543" s="27" t="n"/>
      <c r="G543" s="22" t="n"/>
      <c r="H543" s="22" t="n"/>
      <c r="I543" s="22" t="n"/>
      <c r="J543" s="22" t="n"/>
      <c r="K543" s="22" t="n"/>
      <c r="L543" s="22" t="n"/>
      <c r="M543" s="22" t="n"/>
      <c r="N543" s="22" t="n"/>
      <c r="O543" s="22" t="n"/>
      <c r="P543" s="22" t="n"/>
      <c r="Q543" s="22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  <c r="AA543" s="22" t="n"/>
    </row>
    <row r="544" ht="11.25" customHeight="1">
      <c r="A544" s="22" t="n"/>
      <c r="B544" s="22" t="n"/>
      <c r="C544" s="22" t="n"/>
      <c r="D544" s="26" t="n"/>
      <c r="E544" s="27" t="n"/>
      <c r="F544" s="27" t="n"/>
      <c r="G544" s="22" t="n"/>
      <c r="H544" s="22" t="n"/>
      <c r="I544" s="22" t="n"/>
      <c r="J544" s="22" t="n"/>
      <c r="K544" s="22" t="n"/>
      <c r="L544" s="22" t="n"/>
      <c r="M544" s="22" t="n"/>
      <c r="N544" s="22" t="n"/>
      <c r="O544" s="22" t="n"/>
      <c r="P544" s="22" t="n"/>
      <c r="Q544" s="22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  <c r="AA544" s="22" t="n"/>
    </row>
    <row r="545" ht="11.25" customHeight="1">
      <c r="A545" s="22" t="n"/>
      <c r="B545" s="22" t="n"/>
      <c r="C545" s="22" t="n"/>
      <c r="D545" s="26" t="n"/>
      <c r="E545" s="27" t="n"/>
      <c r="F545" s="27" t="n"/>
      <c r="G545" s="22" t="n"/>
      <c r="H545" s="22" t="n"/>
      <c r="I545" s="22" t="n"/>
      <c r="J545" s="22" t="n"/>
      <c r="K545" s="22" t="n"/>
      <c r="L545" s="22" t="n"/>
      <c r="M545" s="22" t="n"/>
      <c r="N545" s="22" t="n"/>
      <c r="O545" s="22" t="n"/>
      <c r="P545" s="22" t="n"/>
      <c r="Q545" s="22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  <c r="AA545" s="22" t="n"/>
    </row>
    <row r="546" ht="11.25" customHeight="1">
      <c r="A546" s="22" t="n"/>
      <c r="B546" s="22" t="n"/>
      <c r="C546" s="22" t="n"/>
      <c r="D546" s="26" t="n"/>
      <c r="E546" s="27" t="n"/>
      <c r="F546" s="27" t="n"/>
      <c r="G546" s="22" t="n"/>
      <c r="H546" s="22" t="n"/>
      <c r="I546" s="22" t="n"/>
      <c r="J546" s="22" t="n"/>
      <c r="K546" s="22" t="n"/>
      <c r="L546" s="22" t="n"/>
      <c r="M546" s="22" t="n"/>
      <c r="N546" s="22" t="n"/>
      <c r="O546" s="22" t="n"/>
      <c r="P546" s="22" t="n"/>
      <c r="Q546" s="22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  <c r="AA546" s="22" t="n"/>
    </row>
    <row r="547" ht="11.25" customHeight="1">
      <c r="A547" s="22" t="n"/>
      <c r="B547" s="22" t="n"/>
      <c r="C547" s="22" t="n"/>
      <c r="D547" s="26" t="n"/>
      <c r="E547" s="27" t="n"/>
      <c r="F547" s="27" t="n"/>
      <c r="G547" s="22" t="n"/>
      <c r="H547" s="22" t="n"/>
      <c r="I547" s="22" t="n"/>
      <c r="J547" s="22" t="n"/>
      <c r="K547" s="22" t="n"/>
      <c r="L547" s="22" t="n"/>
      <c r="M547" s="22" t="n"/>
      <c r="N547" s="22" t="n"/>
      <c r="O547" s="22" t="n"/>
      <c r="P547" s="22" t="n"/>
      <c r="Q547" s="22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  <c r="AA547" s="22" t="n"/>
    </row>
    <row r="548" ht="11.25" customHeight="1">
      <c r="A548" s="22" t="n"/>
      <c r="B548" s="22" t="n"/>
      <c r="C548" s="22" t="n"/>
      <c r="D548" s="26" t="n"/>
      <c r="E548" s="27" t="n"/>
      <c r="F548" s="27" t="n"/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  <c r="AA548" s="22" t="n"/>
    </row>
    <row r="549" ht="11.25" customHeight="1">
      <c r="A549" s="22" t="n"/>
      <c r="B549" s="22" t="n"/>
      <c r="C549" s="22" t="n"/>
      <c r="D549" s="26" t="n"/>
      <c r="E549" s="27" t="n"/>
      <c r="F549" s="27" t="n"/>
      <c r="G549" s="22" t="n"/>
      <c r="H549" s="22" t="n"/>
      <c r="I549" s="22" t="n"/>
      <c r="J549" s="22" t="n"/>
      <c r="K549" s="22" t="n"/>
      <c r="L549" s="22" t="n"/>
      <c r="M549" s="22" t="n"/>
      <c r="N549" s="22" t="n"/>
      <c r="O549" s="22" t="n"/>
      <c r="P549" s="22" t="n"/>
      <c r="Q549" s="22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  <c r="AA549" s="22" t="n"/>
    </row>
    <row r="550" ht="11.25" customHeight="1">
      <c r="A550" s="22" t="n"/>
      <c r="B550" s="22" t="n"/>
      <c r="C550" s="22" t="n"/>
      <c r="D550" s="26" t="n"/>
      <c r="E550" s="27" t="n"/>
      <c r="F550" s="27" t="n"/>
      <c r="G550" s="22" t="n"/>
      <c r="H550" s="22" t="n"/>
      <c r="I550" s="22" t="n"/>
      <c r="J550" s="22" t="n"/>
      <c r="K550" s="22" t="n"/>
      <c r="L550" s="22" t="n"/>
      <c r="M550" s="22" t="n"/>
      <c r="N550" s="22" t="n"/>
      <c r="O550" s="22" t="n"/>
      <c r="P550" s="22" t="n"/>
      <c r="Q550" s="22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  <c r="AA550" s="22" t="n"/>
    </row>
    <row r="551" ht="11.25" customHeight="1">
      <c r="A551" s="22" t="n"/>
      <c r="B551" s="22" t="n"/>
      <c r="C551" s="22" t="n"/>
      <c r="D551" s="26" t="n"/>
      <c r="E551" s="27" t="n"/>
      <c r="F551" s="27" t="n"/>
      <c r="G551" s="22" t="n"/>
      <c r="H551" s="22" t="n"/>
      <c r="I551" s="22" t="n"/>
      <c r="J551" s="22" t="n"/>
      <c r="K551" s="22" t="n"/>
      <c r="L551" s="22" t="n"/>
      <c r="M551" s="22" t="n"/>
      <c r="N551" s="22" t="n"/>
      <c r="O551" s="22" t="n"/>
      <c r="P551" s="22" t="n"/>
      <c r="Q551" s="22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  <c r="AA551" s="22" t="n"/>
    </row>
    <row r="552" ht="11.25" customHeight="1">
      <c r="A552" s="22" t="n"/>
      <c r="B552" s="22" t="n"/>
      <c r="C552" s="22" t="n"/>
      <c r="D552" s="26" t="n"/>
      <c r="E552" s="27" t="n"/>
      <c r="F552" s="27" t="n"/>
      <c r="G552" s="22" t="n"/>
      <c r="H552" s="22" t="n"/>
      <c r="I552" s="22" t="n"/>
      <c r="J552" s="22" t="n"/>
      <c r="K552" s="22" t="n"/>
      <c r="L552" s="22" t="n"/>
      <c r="M552" s="22" t="n"/>
      <c r="N552" s="22" t="n"/>
      <c r="O552" s="22" t="n"/>
      <c r="P552" s="22" t="n"/>
      <c r="Q552" s="22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  <c r="AA552" s="22" t="n"/>
    </row>
    <row r="553" ht="11.25" customHeight="1">
      <c r="A553" s="22" t="n"/>
      <c r="B553" s="22" t="n"/>
      <c r="C553" s="22" t="n"/>
      <c r="D553" s="26" t="n"/>
      <c r="E553" s="27" t="n"/>
      <c r="F553" s="27" t="n"/>
      <c r="G553" s="22" t="n"/>
      <c r="H553" s="22" t="n"/>
      <c r="I553" s="22" t="n"/>
      <c r="J553" s="22" t="n"/>
      <c r="K553" s="22" t="n"/>
      <c r="L553" s="22" t="n"/>
      <c r="M553" s="22" t="n"/>
      <c r="N553" s="22" t="n"/>
      <c r="O553" s="22" t="n"/>
      <c r="P553" s="22" t="n"/>
      <c r="Q553" s="22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  <c r="AA553" s="22" t="n"/>
    </row>
    <row r="554" ht="11.25" customHeight="1">
      <c r="A554" s="22" t="n"/>
      <c r="B554" s="22" t="n"/>
      <c r="C554" s="22" t="n"/>
      <c r="D554" s="26" t="n"/>
      <c r="E554" s="27" t="n"/>
      <c r="F554" s="27" t="n"/>
      <c r="G554" s="22" t="n"/>
      <c r="H554" s="22" t="n"/>
      <c r="I554" s="22" t="n"/>
      <c r="J554" s="22" t="n"/>
      <c r="K554" s="22" t="n"/>
      <c r="L554" s="22" t="n"/>
      <c r="M554" s="22" t="n"/>
      <c r="N554" s="22" t="n"/>
      <c r="O554" s="22" t="n"/>
      <c r="P554" s="22" t="n"/>
      <c r="Q554" s="22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  <c r="AA554" s="22" t="n"/>
    </row>
    <row r="555" ht="11.25" customHeight="1">
      <c r="A555" s="22" t="n"/>
      <c r="B555" s="22" t="n"/>
      <c r="C555" s="22" t="n"/>
      <c r="D555" s="26" t="n"/>
      <c r="E555" s="27" t="n"/>
      <c r="F555" s="27" t="n"/>
      <c r="G555" s="22" t="n"/>
      <c r="H555" s="22" t="n"/>
      <c r="I555" s="22" t="n"/>
      <c r="J555" s="22" t="n"/>
      <c r="K555" s="22" t="n"/>
      <c r="L555" s="22" t="n"/>
      <c r="M555" s="22" t="n"/>
      <c r="N555" s="22" t="n"/>
      <c r="O555" s="22" t="n"/>
      <c r="P555" s="22" t="n"/>
      <c r="Q555" s="22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  <c r="AA555" s="22" t="n"/>
    </row>
    <row r="556" ht="11.25" customHeight="1">
      <c r="A556" s="22" t="n"/>
      <c r="B556" s="22" t="n"/>
      <c r="C556" s="22" t="n"/>
      <c r="D556" s="26" t="n"/>
      <c r="E556" s="27" t="n"/>
      <c r="F556" s="27" t="n"/>
      <c r="G556" s="22" t="n"/>
      <c r="H556" s="22" t="n"/>
      <c r="I556" s="22" t="n"/>
      <c r="J556" s="22" t="n"/>
      <c r="K556" s="22" t="n"/>
      <c r="L556" s="22" t="n"/>
      <c r="M556" s="22" t="n"/>
      <c r="N556" s="22" t="n"/>
      <c r="O556" s="22" t="n"/>
      <c r="P556" s="22" t="n"/>
      <c r="Q556" s="22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  <c r="AA556" s="22" t="n"/>
    </row>
    <row r="557" ht="11.25" customHeight="1">
      <c r="A557" s="22" t="n"/>
      <c r="B557" s="22" t="n"/>
      <c r="C557" s="22" t="n"/>
      <c r="D557" s="26" t="n"/>
      <c r="E557" s="27" t="n"/>
      <c r="F557" s="27" t="n"/>
      <c r="G557" s="22" t="n"/>
      <c r="H557" s="22" t="n"/>
      <c r="I557" s="22" t="n"/>
      <c r="J557" s="22" t="n"/>
      <c r="K557" s="22" t="n"/>
      <c r="L557" s="22" t="n"/>
      <c r="M557" s="22" t="n"/>
      <c r="N557" s="22" t="n"/>
      <c r="O557" s="22" t="n"/>
      <c r="P557" s="22" t="n"/>
      <c r="Q557" s="22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  <c r="AA557" s="22" t="n"/>
    </row>
    <row r="558" ht="11.25" customHeight="1">
      <c r="A558" s="22" t="n"/>
      <c r="B558" s="22" t="n"/>
      <c r="C558" s="22" t="n"/>
      <c r="D558" s="26" t="n"/>
      <c r="E558" s="27" t="n"/>
      <c r="F558" s="27" t="n"/>
      <c r="G558" s="22" t="n"/>
      <c r="H558" s="22" t="n"/>
      <c r="I558" s="22" t="n"/>
      <c r="J558" s="22" t="n"/>
      <c r="K558" s="22" t="n"/>
      <c r="L558" s="22" t="n"/>
      <c r="M558" s="22" t="n"/>
      <c r="N558" s="22" t="n"/>
      <c r="O558" s="22" t="n"/>
      <c r="P558" s="22" t="n"/>
      <c r="Q558" s="22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  <c r="AA558" s="22" t="n"/>
    </row>
    <row r="559" ht="11.25" customHeight="1">
      <c r="A559" s="22" t="n"/>
      <c r="B559" s="22" t="n"/>
      <c r="C559" s="22" t="n"/>
      <c r="D559" s="26" t="n"/>
      <c r="E559" s="27" t="n"/>
      <c r="F559" s="27" t="n"/>
      <c r="G559" s="22" t="n"/>
      <c r="H559" s="22" t="n"/>
      <c r="I559" s="22" t="n"/>
      <c r="J559" s="22" t="n"/>
      <c r="K559" s="22" t="n"/>
      <c r="L559" s="22" t="n"/>
      <c r="M559" s="22" t="n"/>
      <c r="N559" s="22" t="n"/>
      <c r="O559" s="22" t="n"/>
      <c r="P559" s="22" t="n"/>
      <c r="Q559" s="22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  <c r="AA559" s="22" t="n"/>
    </row>
    <row r="560" ht="11.25" customHeight="1">
      <c r="A560" s="22" t="n"/>
      <c r="B560" s="22" t="n"/>
      <c r="C560" s="22" t="n"/>
      <c r="D560" s="26" t="n"/>
      <c r="E560" s="27" t="n"/>
      <c r="F560" s="27" t="n"/>
      <c r="G560" s="22" t="n"/>
      <c r="H560" s="22" t="n"/>
      <c r="I560" s="22" t="n"/>
      <c r="J560" s="22" t="n"/>
      <c r="K560" s="22" t="n"/>
      <c r="L560" s="22" t="n"/>
      <c r="M560" s="22" t="n"/>
      <c r="N560" s="22" t="n"/>
      <c r="O560" s="22" t="n"/>
      <c r="P560" s="22" t="n"/>
      <c r="Q560" s="22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  <c r="AA560" s="22" t="n"/>
    </row>
    <row r="561" ht="11.25" customHeight="1">
      <c r="A561" s="22" t="n"/>
      <c r="B561" s="22" t="n"/>
      <c r="C561" s="22" t="n"/>
      <c r="D561" s="26" t="n"/>
      <c r="E561" s="27" t="n"/>
      <c r="F561" s="27" t="n"/>
      <c r="G561" s="22" t="n"/>
      <c r="H561" s="22" t="n"/>
      <c r="I561" s="22" t="n"/>
      <c r="J561" s="22" t="n"/>
      <c r="K561" s="22" t="n"/>
      <c r="L561" s="22" t="n"/>
      <c r="M561" s="22" t="n"/>
      <c r="N561" s="22" t="n"/>
      <c r="O561" s="22" t="n"/>
      <c r="P561" s="22" t="n"/>
      <c r="Q561" s="22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  <c r="AA561" s="22" t="n"/>
    </row>
    <row r="562" ht="11.25" customHeight="1">
      <c r="A562" s="22" t="n"/>
      <c r="B562" s="22" t="n"/>
      <c r="C562" s="22" t="n"/>
      <c r="D562" s="26" t="n"/>
      <c r="E562" s="27" t="n"/>
      <c r="F562" s="27" t="n"/>
      <c r="G562" s="22" t="n"/>
      <c r="H562" s="22" t="n"/>
      <c r="I562" s="22" t="n"/>
      <c r="J562" s="22" t="n"/>
      <c r="K562" s="22" t="n"/>
      <c r="L562" s="22" t="n"/>
      <c r="M562" s="22" t="n"/>
      <c r="N562" s="22" t="n"/>
      <c r="O562" s="22" t="n"/>
      <c r="P562" s="22" t="n"/>
      <c r="Q562" s="22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  <c r="AA562" s="22" t="n"/>
    </row>
    <row r="563" ht="11.25" customHeight="1">
      <c r="A563" s="22" t="n"/>
      <c r="B563" s="22" t="n"/>
      <c r="C563" s="22" t="n"/>
      <c r="D563" s="26" t="n"/>
      <c r="E563" s="27" t="n"/>
      <c r="F563" s="27" t="n"/>
      <c r="G563" s="22" t="n"/>
      <c r="H563" s="22" t="n"/>
      <c r="I563" s="22" t="n"/>
      <c r="J563" s="22" t="n"/>
      <c r="K563" s="22" t="n"/>
      <c r="L563" s="22" t="n"/>
      <c r="M563" s="22" t="n"/>
      <c r="N563" s="22" t="n"/>
      <c r="O563" s="22" t="n"/>
      <c r="P563" s="22" t="n"/>
      <c r="Q563" s="22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  <c r="AA563" s="22" t="n"/>
    </row>
    <row r="564" ht="11.25" customHeight="1">
      <c r="A564" s="22" t="n"/>
      <c r="B564" s="22" t="n"/>
      <c r="C564" s="22" t="n"/>
      <c r="D564" s="26" t="n"/>
      <c r="E564" s="27" t="n"/>
      <c r="F564" s="27" t="n"/>
      <c r="G564" s="22" t="n"/>
      <c r="H564" s="22" t="n"/>
      <c r="I564" s="22" t="n"/>
      <c r="J564" s="22" t="n"/>
      <c r="K564" s="22" t="n"/>
      <c r="L564" s="22" t="n"/>
      <c r="M564" s="22" t="n"/>
      <c r="N564" s="22" t="n"/>
      <c r="O564" s="22" t="n"/>
      <c r="P564" s="22" t="n"/>
      <c r="Q564" s="22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  <c r="AA564" s="22" t="n"/>
    </row>
    <row r="565" ht="11.25" customHeight="1">
      <c r="A565" s="22" t="n"/>
      <c r="B565" s="22" t="n"/>
      <c r="C565" s="22" t="n"/>
      <c r="D565" s="26" t="n"/>
      <c r="E565" s="27" t="n"/>
      <c r="F565" s="27" t="n"/>
      <c r="G565" s="22" t="n"/>
      <c r="H565" s="22" t="n"/>
      <c r="I565" s="22" t="n"/>
      <c r="J565" s="22" t="n"/>
      <c r="K565" s="22" t="n"/>
      <c r="L565" s="22" t="n"/>
      <c r="M565" s="22" t="n"/>
      <c r="N565" s="22" t="n"/>
      <c r="O565" s="22" t="n"/>
      <c r="P565" s="22" t="n"/>
      <c r="Q565" s="22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  <c r="AA565" s="22" t="n"/>
    </row>
    <row r="566" ht="11.25" customHeight="1">
      <c r="A566" s="22" t="n"/>
      <c r="B566" s="22" t="n"/>
      <c r="C566" s="22" t="n"/>
      <c r="D566" s="26" t="n"/>
      <c r="E566" s="27" t="n"/>
      <c r="F566" s="27" t="n"/>
      <c r="G566" s="22" t="n"/>
      <c r="H566" s="22" t="n"/>
      <c r="I566" s="22" t="n"/>
      <c r="J566" s="22" t="n"/>
      <c r="K566" s="22" t="n"/>
      <c r="L566" s="22" t="n"/>
      <c r="M566" s="22" t="n"/>
      <c r="N566" s="22" t="n"/>
      <c r="O566" s="22" t="n"/>
      <c r="P566" s="22" t="n"/>
      <c r="Q566" s="22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  <c r="AA566" s="22" t="n"/>
    </row>
    <row r="567" ht="11.25" customHeight="1">
      <c r="A567" s="22" t="n"/>
      <c r="B567" s="22" t="n"/>
      <c r="C567" s="22" t="n"/>
      <c r="D567" s="26" t="n"/>
      <c r="E567" s="27" t="n"/>
      <c r="F567" s="27" t="n"/>
      <c r="G567" s="22" t="n"/>
      <c r="H567" s="22" t="n"/>
      <c r="I567" s="22" t="n"/>
      <c r="J567" s="22" t="n"/>
      <c r="K567" s="22" t="n"/>
      <c r="L567" s="22" t="n"/>
      <c r="M567" s="22" t="n"/>
      <c r="N567" s="22" t="n"/>
      <c r="O567" s="22" t="n"/>
      <c r="P567" s="22" t="n"/>
      <c r="Q567" s="22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  <c r="AA567" s="22" t="n"/>
    </row>
    <row r="568" ht="11.25" customHeight="1">
      <c r="A568" s="22" t="n"/>
      <c r="B568" s="22" t="n"/>
      <c r="C568" s="22" t="n"/>
      <c r="D568" s="26" t="n"/>
      <c r="E568" s="27" t="n"/>
      <c r="F568" s="27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  <c r="AA568" s="22" t="n"/>
    </row>
    <row r="569" ht="11.25" customHeight="1">
      <c r="A569" s="22" t="n"/>
      <c r="B569" s="22" t="n"/>
      <c r="C569" s="22" t="n"/>
      <c r="D569" s="26" t="n"/>
      <c r="E569" s="27" t="n"/>
      <c r="F569" s="27" t="n"/>
      <c r="G569" s="22" t="n"/>
      <c r="H569" s="22" t="n"/>
      <c r="I569" s="22" t="n"/>
      <c r="J569" s="22" t="n"/>
      <c r="K569" s="22" t="n"/>
      <c r="L569" s="22" t="n"/>
      <c r="M569" s="22" t="n"/>
      <c r="N569" s="22" t="n"/>
      <c r="O569" s="22" t="n"/>
      <c r="P569" s="22" t="n"/>
      <c r="Q569" s="22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  <c r="AA569" s="22" t="n"/>
    </row>
    <row r="570" ht="11.25" customHeight="1">
      <c r="A570" s="22" t="n"/>
      <c r="B570" s="22" t="n"/>
      <c r="C570" s="22" t="n"/>
      <c r="D570" s="26" t="n"/>
      <c r="E570" s="27" t="n"/>
      <c r="F570" s="27" t="n"/>
      <c r="G570" s="22" t="n"/>
      <c r="H570" s="22" t="n"/>
      <c r="I570" s="22" t="n"/>
      <c r="J570" s="22" t="n"/>
      <c r="K570" s="22" t="n"/>
      <c r="L570" s="22" t="n"/>
      <c r="M570" s="22" t="n"/>
      <c r="N570" s="22" t="n"/>
      <c r="O570" s="22" t="n"/>
      <c r="P570" s="22" t="n"/>
      <c r="Q570" s="22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  <c r="AA570" s="22" t="n"/>
    </row>
    <row r="571" ht="11.25" customHeight="1">
      <c r="A571" s="22" t="n"/>
      <c r="B571" s="22" t="n"/>
      <c r="C571" s="22" t="n"/>
      <c r="D571" s="26" t="n"/>
      <c r="E571" s="27" t="n"/>
      <c r="F571" s="27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  <c r="AA571" s="22" t="n"/>
    </row>
    <row r="572" ht="11.25" customHeight="1">
      <c r="A572" s="22" t="n"/>
      <c r="B572" s="22" t="n"/>
      <c r="C572" s="22" t="n"/>
      <c r="D572" s="26" t="n"/>
      <c r="E572" s="27" t="n"/>
      <c r="F572" s="27" t="n"/>
      <c r="G572" s="22" t="n"/>
      <c r="H572" s="22" t="n"/>
      <c r="I572" s="22" t="n"/>
      <c r="J572" s="22" t="n"/>
      <c r="K572" s="22" t="n"/>
      <c r="L572" s="22" t="n"/>
      <c r="M572" s="22" t="n"/>
      <c r="N572" s="22" t="n"/>
      <c r="O572" s="22" t="n"/>
      <c r="P572" s="22" t="n"/>
      <c r="Q572" s="22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  <c r="AA572" s="22" t="n"/>
    </row>
    <row r="573" ht="11.25" customHeight="1">
      <c r="A573" s="22" t="n"/>
      <c r="B573" s="22" t="n"/>
      <c r="C573" s="22" t="n"/>
      <c r="D573" s="26" t="n"/>
      <c r="E573" s="27" t="n"/>
      <c r="F573" s="27" t="n"/>
      <c r="G573" s="22" t="n"/>
      <c r="H573" s="22" t="n"/>
      <c r="I573" s="22" t="n"/>
      <c r="J573" s="22" t="n"/>
      <c r="K573" s="22" t="n"/>
      <c r="L573" s="22" t="n"/>
      <c r="M573" s="22" t="n"/>
      <c r="N573" s="22" t="n"/>
      <c r="O573" s="22" t="n"/>
      <c r="P573" s="22" t="n"/>
      <c r="Q573" s="22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  <c r="AA573" s="22" t="n"/>
    </row>
    <row r="574" ht="11.25" customHeight="1">
      <c r="A574" s="22" t="n"/>
      <c r="B574" s="22" t="n"/>
      <c r="C574" s="22" t="n"/>
      <c r="D574" s="26" t="n"/>
      <c r="E574" s="27" t="n"/>
      <c r="F574" s="27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  <c r="AA574" s="22" t="n"/>
    </row>
    <row r="575" ht="11.25" customHeight="1">
      <c r="A575" s="22" t="n"/>
      <c r="B575" s="22" t="n"/>
      <c r="C575" s="22" t="n"/>
      <c r="D575" s="26" t="n"/>
      <c r="E575" s="27" t="n"/>
      <c r="F575" s="27" t="n"/>
      <c r="G575" s="22" t="n"/>
      <c r="H575" s="22" t="n"/>
      <c r="I575" s="22" t="n"/>
      <c r="J575" s="22" t="n"/>
      <c r="K575" s="22" t="n"/>
      <c r="L575" s="22" t="n"/>
      <c r="M575" s="22" t="n"/>
      <c r="N575" s="22" t="n"/>
      <c r="O575" s="22" t="n"/>
      <c r="P575" s="22" t="n"/>
      <c r="Q575" s="22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  <c r="AA575" s="22" t="n"/>
    </row>
    <row r="576" ht="11.25" customHeight="1">
      <c r="A576" s="22" t="n"/>
      <c r="B576" s="22" t="n"/>
      <c r="C576" s="22" t="n"/>
      <c r="D576" s="26" t="n"/>
      <c r="E576" s="27" t="n"/>
      <c r="F576" s="27" t="n"/>
      <c r="G576" s="22" t="n"/>
      <c r="H576" s="22" t="n"/>
      <c r="I576" s="22" t="n"/>
      <c r="J576" s="22" t="n"/>
      <c r="K576" s="22" t="n"/>
      <c r="L576" s="22" t="n"/>
      <c r="M576" s="22" t="n"/>
      <c r="N576" s="22" t="n"/>
      <c r="O576" s="22" t="n"/>
      <c r="P576" s="22" t="n"/>
      <c r="Q576" s="22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  <c r="AA576" s="22" t="n"/>
    </row>
    <row r="577" ht="11.25" customHeight="1">
      <c r="A577" s="22" t="n"/>
      <c r="B577" s="22" t="n"/>
      <c r="C577" s="22" t="n"/>
      <c r="D577" s="26" t="n"/>
      <c r="E577" s="27" t="n"/>
      <c r="F577" s="27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  <c r="AA577" s="22" t="n"/>
    </row>
    <row r="578" ht="11.25" customHeight="1">
      <c r="A578" s="22" t="n"/>
      <c r="B578" s="22" t="n"/>
      <c r="C578" s="22" t="n"/>
      <c r="D578" s="26" t="n"/>
      <c r="E578" s="27" t="n"/>
      <c r="F578" s="27" t="n"/>
      <c r="G578" s="22" t="n"/>
      <c r="H578" s="22" t="n"/>
      <c r="I578" s="22" t="n"/>
      <c r="J578" s="22" t="n"/>
      <c r="K578" s="22" t="n"/>
      <c r="L578" s="22" t="n"/>
      <c r="M578" s="22" t="n"/>
      <c r="N578" s="22" t="n"/>
      <c r="O578" s="22" t="n"/>
      <c r="P578" s="22" t="n"/>
      <c r="Q578" s="22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  <c r="AA578" s="22" t="n"/>
    </row>
    <row r="579" ht="11.25" customHeight="1">
      <c r="A579" s="22" t="n"/>
      <c r="B579" s="22" t="n"/>
      <c r="C579" s="22" t="n"/>
      <c r="D579" s="26" t="n"/>
      <c r="E579" s="27" t="n"/>
      <c r="F579" s="27" t="n"/>
      <c r="G579" s="22" t="n"/>
      <c r="H579" s="22" t="n"/>
      <c r="I579" s="22" t="n"/>
      <c r="J579" s="22" t="n"/>
      <c r="K579" s="22" t="n"/>
      <c r="L579" s="22" t="n"/>
      <c r="M579" s="22" t="n"/>
      <c r="N579" s="22" t="n"/>
      <c r="O579" s="22" t="n"/>
      <c r="P579" s="22" t="n"/>
      <c r="Q579" s="22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  <c r="AA579" s="22" t="n"/>
    </row>
    <row r="580" ht="11.25" customHeight="1">
      <c r="A580" s="22" t="n"/>
      <c r="B580" s="22" t="n"/>
      <c r="C580" s="22" t="n"/>
      <c r="D580" s="26" t="n"/>
      <c r="E580" s="27" t="n"/>
      <c r="F580" s="27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  <c r="AA580" s="22" t="n"/>
    </row>
    <row r="581" ht="11.25" customHeight="1">
      <c r="A581" s="22" t="n"/>
      <c r="B581" s="22" t="n"/>
      <c r="C581" s="22" t="n"/>
      <c r="D581" s="26" t="n"/>
      <c r="E581" s="27" t="n"/>
      <c r="F581" s="27" t="n"/>
      <c r="G581" s="22" t="n"/>
      <c r="H581" s="22" t="n"/>
      <c r="I581" s="22" t="n"/>
      <c r="J581" s="22" t="n"/>
      <c r="K581" s="22" t="n"/>
      <c r="L581" s="22" t="n"/>
      <c r="M581" s="22" t="n"/>
      <c r="N581" s="22" t="n"/>
      <c r="O581" s="22" t="n"/>
      <c r="P581" s="22" t="n"/>
      <c r="Q581" s="22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  <c r="AA581" s="22" t="n"/>
    </row>
    <row r="582" ht="11.25" customHeight="1">
      <c r="A582" s="22" t="n"/>
      <c r="B582" s="22" t="n"/>
      <c r="C582" s="22" t="n"/>
      <c r="D582" s="26" t="n"/>
      <c r="E582" s="27" t="n"/>
      <c r="F582" s="27" t="n"/>
      <c r="G582" s="22" t="n"/>
      <c r="H582" s="22" t="n"/>
      <c r="I582" s="22" t="n"/>
      <c r="J582" s="22" t="n"/>
      <c r="K582" s="22" t="n"/>
      <c r="L582" s="22" t="n"/>
      <c r="M582" s="22" t="n"/>
      <c r="N582" s="22" t="n"/>
      <c r="O582" s="22" t="n"/>
      <c r="P582" s="22" t="n"/>
      <c r="Q582" s="22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  <c r="AA582" s="22" t="n"/>
    </row>
    <row r="583" ht="11.25" customHeight="1">
      <c r="A583" s="22" t="n"/>
      <c r="B583" s="22" t="n"/>
      <c r="C583" s="22" t="n"/>
      <c r="D583" s="26" t="n"/>
      <c r="E583" s="27" t="n"/>
      <c r="F583" s="27" t="n"/>
      <c r="G583" s="22" t="n"/>
      <c r="H583" s="22" t="n"/>
      <c r="I583" s="22" t="n"/>
      <c r="J583" s="22" t="n"/>
      <c r="K583" s="22" t="n"/>
      <c r="L583" s="22" t="n"/>
      <c r="M583" s="22" t="n"/>
      <c r="N583" s="22" t="n"/>
      <c r="O583" s="22" t="n"/>
      <c r="P583" s="22" t="n"/>
      <c r="Q583" s="22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  <c r="AA583" s="22" t="n"/>
    </row>
    <row r="584" ht="11.25" customHeight="1">
      <c r="A584" s="22" t="n"/>
      <c r="B584" s="22" t="n"/>
      <c r="C584" s="22" t="n"/>
      <c r="D584" s="26" t="n"/>
      <c r="E584" s="27" t="n"/>
      <c r="F584" s="27" t="n"/>
      <c r="G584" s="22" t="n"/>
      <c r="H584" s="22" t="n"/>
      <c r="I584" s="22" t="n"/>
      <c r="J584" s="22" t="n"/>
      <c r="K584" s="22" t="n"/>
      <c r="L584" s="22" t="n"/>
      <c r="M584" s="22" t="n"/>
      <c r="N584" s="22" t="n"/>
      <c r="O584" s="22" t="n"/>
      <c r="P584" s="22" t="n"/>
      <c r="Q584" s="22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  <c r="AA584" s="22" t="n"/>
    </row>
    <row r="585" ht="11.25" customHeight="1">
      <c r="A585" s="22" t="n"/>
      <c r="B585" s="22" t="n"/>
      <c r="C585" s="22" t="n"/>
      <c r="D585" s="26" t="n"/>
      <c r="E585" s="27" t="n"/>
      <c r="F585" s="27" t="n"/>
      <c r="G585" s="22" t="n"/>
      <c r="H585" s="22" t="n"/>
      <c r="I585" s="22" t="n"/>
      <c r="J585" s="22" t="n"/>
      <c r="K585" s="22" t="n"/>
      <c r="L585" s="22" t="n"/>
      <c r="M585" s="22" t="n"/>
      <c r="N585" s="22" t="n"/>
      <c r="O585" s="22" t="n"/>
      <c r="P585" s="22" t="n"/>
      <c r="Q585" s="22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  <c r="AA585" s="22" t="n"/>
    </row>
    <row r="586" ht="11.25" customHeight="1">
      <c r="A586" s="22" t="n"/>
      <c r="B586" s="22" t="n"/>
      <c r="C586" s="22" t="n"/>
      <c r="D586" s="26" t="n"/>
      <c r="E586" s="27" t="n"/>
      <c r="F586" s="27" t="n"/>
      <c r="G586" s="22" t="n"/>
      <c r="H586" s="22" t="n"/>
      <c r="I586" s="22" t="n"/>
      <c r="J586" s="22" t="n"/>
      <c r="K586" s="22" t="n"/>
      <c r="L586" s="22" t="n"/>
      <c r="M586" s="22" t="n"/>
      <c r="N586" s="22" t="n"/>
      <c r="O586" s="22" t="n"/>
      <c r="P586" s="22" t="n"/>
      <c r="Q586" s="22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  <c r="AA586" s="22" t="n"/>
    </row>
    <row r="587" ht="11.25" customHeight="1">
      <c r="A587" s="22" t="n"/>
      <c r="B587" s="22" t="n"/>
      <c r="C587" s="22" t="n"/>
      <c r="D587" s="26" t="n"/>
      <c r="E587" s="27" t="n"/>
      <c r="F587" s="27" t="n"/>
      <c r="G587" s="22" t="n"/>
      <c r="H587" s="22" t="n"/>
      <c r="I587" s="22" t="n"/>
      <c r="J587" s="22" t="n"/>
      <c r="K587" s="22" t="n"/>
      <c r="L587" s="22" t="n"/>
      <c r="M587" s="22" t="n"/>
      <c r="N587" s="22" t="n"/>
      <c r="O587" s="22" t="n"/>
      <c r="P587" s="22" t="n"/>
      <c r="Q587" s="22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  <c r="AA587" s="22" t="n"/>
    </row>
    <row r="588" ht="11.25" customHeight="1">
      <c r="A588" s="22" t="n"/>
      <c r="B588" s="22" t="n"/>
      <c r="C588" s="22" t="n"/>
      <c r="D588" s="26" t="n"/>
      <c r="E588" s="27" t="n"/>
      <c r="F588" s="27" t="n"/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  <c r="AA588" s="22" t="n"/>
    </row>
    <row r="589" ht="11.25" customHeight="1">
      <c r="A589" s="22" t="n"/>
      <c r="B589" s="22" t="n"/>
      <c r="C589" s="22" t="n"/>
      <c r="D589" s="26" t="n"/>
      <c r="E589" s="27" t="n"/>
      <c r="F589" s="27" t="n"/>
      <c r="G589" s="22" t="n"/>
      <c r="H589" s="22" t="n"/>
      <c r="I589" s="22" t="n"/>
      <c r="J589" s="22" t="n"/>
      <c r="K589" s="22" t="n"/>
      <c r="L589" s="22" t="n"/>
      <c r="M589" s="22" t="n"/>
      <c r="N589" s="22" t="n"/>
      <c r="O589" s="22" t="n"/>
      <c r="P589" s="22" t="n"/>
      <c r="Q589" s="22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  <c r="AA589" s="22" t="n"/>
    </row>
    <row r="590" ht="11.25" customHeight="1">
      <c r="A590" s="22" t="n"/>
      <c r="B590" s="22" t="n"/>
      <c r="C590" s="22" t="n"/>
      <c r="D590" s="26" t="n"/>
      <c r="E590" s="27" t="n"/>
      <c r="F590" s="27" t="n"/>
      <c r="G590" s="22" t="n"/>
      <c r="H590" s="22" t="n"/>
      <c r="I590" s="22" t="n"/>
      <c r="J590" s="22" t="n"/>
      <c r="K590" s="22" t="n"/>
      <c r="L590" s="22" t="n"/>
      <c r="M590" s="22" t="n"/>
      <c r="N590" s="22" t="n"/>
      <c r="O590" s="22" t="n"/>
      <c r="P590" s="22" t="n"/>
      <c r="Q590" s="22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  <c r="AA590" s="22" t="n"/>
    </row>
    <row r="591" ht="11.25" customHeight="1">
      <c r="A591" s="22" t="n"/>
      <c r="B591" s="22" t="n"/>
      <c r="C591" s="22" t="n"/>
      <c r="D591" s="26" t="n"/>
      <c r="E591" s="27" t="n"/>
      <c r="F591" s="27" t="n"/>
      <c r="G591" s="22" t="n"/>
      <c r="H591" s="22" t="n"/>
      <c r="I591" s="22" t="n"/>
      <c r="J591" s="22" t="n"/>
      <c r="K591" s="22" t="n"/>
      <c r="L591" s="22" t="n"/>
      <c r="M591" s="22" t="n"/>
      <c r="N591" s="22" t="n"/>
      <c r="O591" s="22" t="n"/>
      <c r="P591" s="22" t="n"/>
      <c r="Q591" s="22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  <c r="AA591" s="22" t="n"/>
    </row>
    <row r="592" ht="11.25" customHeight="1">
      <c r="A592" s="22" t="n"/>
      <c r="B592" s="22" t="n"/>
      <c r="C592" s="22" t="n"/>
      <c r="D592" s="26" t="n"/>
      <c r="E592" s="27" t="n"/>
      <c r="F592" s="27" t="n"/>
      <c r="G592" s="22" t="n"/>
      <c r="H592" s="22" t="n"/>
      <c r="I592" s="22" t="n"/>
      <c r="J592" s="22" t="n"/>
      <c r="K592" s="22" t="n"/>
      <c r="L592" s="22" t="n"/>
      <c r="M592" s="22" t="n"/>
      <c r="N592" s="22" t="n"/>
      <c r="O592" s="22" t="n"/>
      <c r="P592" s="22" t="n"/>
      <c r="Q592" s="22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  <c r="AA592" s="22" t="n"/>
    </row>
    <row r="593" ht="11.25" customHeight="1">
      <c r="A593" s="22" t="n"/>
      <c r="B593" s="22" t="n"/>
      <c r="C593" s="22" t="n"/>
      <c r="D593" s="26" t="n"/>
      <c r="E593" s="27" t="n"/>
      <c r="F593" s="27" t="n"/>
      <c r="G593" s="22" t="n"/>
      <c r="H593" s="22" t="n"/>
      <c r="I593" s="22" t="n"/>
      <c r="J593" s="22" t="n"/>
      <c r="K593" s="22" t="n"/>
      <c r="L593" s="22" t="n"/>
      <c r="M593" s="22" t="n"/>
      <c r="N593" s="22" t="n"/>
      <c r="O593" s="22" t="n"/>
      <c r="P593" s="22" t="n"/>
      <c r="Q593" s="22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  <c r="AA593" s="22" t="n"/>
    </row>
    <row r="594" ht="11.25" customHeight="1">
      <c r="A594" s="22" t="n"/>
      <c r="B594" s="22" t="n"/>
      <c r="C594" s="22" t="n"/>
      <c r="D594" s="26" t="n"/>
      <c r="E594" s="27" t="n"/>
      <c r="F594" s="27" t="n"/>
      <c r="G594" s="22" t="n"/>
      <c r="H594" s="22" t="n"/>
      <c r="I594" s="22" t="n"/>
      <c r="J594" s="22" t="n"/>
      <c r="K594" s="22" t="n"/>
      <c r="L594" s="22" t="n"/>
      <c r="M594" s="22" t="n"/>
      <c r="N594" s="22" t="n"/>
      <c r="O594" s="22" t="n"/>
      <c r="P594" s="22" t="n"/>
      <c r="Q594" s="22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  <c r="AA594" s="22" t="n"/>
    </row>
    <row r="595" ht="11.25" customHeight="1">
      <c r="A595" s="22" t="n"/>
      <c r="B595" s="22" t="n"/>
      <c r="C595" s="22" t="n"/>
      <c r="D595" s="26" t="n"/>
      <c r="E595" s="27" t="n"/>
      <c r="F595" s="27" t="n"/>
      <c r="G595" s="22" t="n"/>
      <c r="H595" s="22" t="n"/>
      <c r="I595" s="22" t="n"/>
      <c r="J595" s="22" t="n"/>
      <c r="K595" s="22" t="n"/>
      <c r="L595" s="22" t="n"/>
      <c r="M595" s="22" t="n"/>
      <c r="N595" s="22" t="n"/>
      <c r="O595" s="22" t="n"/>
      <c r="P595" s="22" t="n"/>
      <c r="Q595" s="22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  <c r="AA595" s="22" t="n"/>
    </row>
    <row r="596" ht="11.25" customHeight="1">
      <c r="A596" s="22" t="n"/>
      <c r="B596" s="22" t="n"/>
      <c r="C596" s="22" t="n"/>
      <c r="D596" s="26" t="n"/>
      <c r="E596" s="27" t="n"/>
      <c r="F596" s="27" t="n"/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  <c r="AA596" s="22" t="n"/>
    </row>
    <row r="597" ht="11.25" customHeight="1">
      <c r="A597" s="22" t="n"/>
      <c r="B597" s="22" t="n"/>
      <c r="C597" s="22" t="n"/>
      <c r="D597" s="26" t="n"/>
      <c r="E597" s="27" t="n"/>
      <c r="F597" s="27" t="n"/>
      <c r="G597" s="22" t="n"/>
      <c r="H597" s="22" t="n"/>
      <c r="I597" s="22" t="n"/>
      <c r="J597" s="22" t="n"/>
      <c r="K597" s="22" t="n"/>
      <c r="L597" s="22" t="n"/>
      <c r="M597" s="22" t="n"/>
      <c r="N597" s="22" t="n"/>
      <c r="O597" s="22" t="n"/>
      <c r="P597" s="22" t="n"/>
      <c r="Q597" s="22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  <c r="AA597" s="22" t="n"/>
    </row>
    <row r="598" ht="11.25" customHeight="1">
      <c r="A598" s="22" t="n"/>
      <c r="B598" s="22" t="n"/>
      <c r="C598" s="22" t="n"/>
      <c r="D598" s="26" t="n"/>
      <c r="E598" s="27" t="n"/>
      <c r="F598" s="27" t="n"/>
      <c r="G598" s="22" t="n"/>
      <c r="H598" s="22" t="n"/>
      <c r="I598" s="22" t="n"/>
      <c r="J598" s="22" t="n"/>
      <c r="K598" s="22" t="n"/>
      <c r="L598" s="22" t="n"/>
      <c r="M598" s="22" t="n"/>
      <c r="N598" s="22" t="n"/>
      <c r="O598" s="22" t="n"/>
      <c r="P598" s="22" t="n"/>
      <c r="Q598" s="22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  <c r="AA598" s="22" t="n"/>
    </row>
    <row r="599" ht="11.25" customHeight="1">
      <c r="A599" s="22" t="n"/>
      <c r="B599" s="22" t="n"/>
      <c r="C599" s="22" t="n"/>
      <c r="D599" s="26" t="n"/>
      <c r="E599" s="27" t="n"/>
      <c r="F599" s="27" t="n"/>
      <c r="G599" s="22" t="n"/>
      <c r="H599" s="22" t="n"/>
      <c r="I599" s="22" t="n"/>
      <c r="J599" s="22" t="n"/>
      <c r="K599" s="22" t="n"/>
      <c r="L599" s="22" t="n"/>
      <c r="M599" s="22" t="n"/>
      <c r="N599" s="22" t="n"/>
      <c r="O599" s="22" t="n"/>
      <c r="P599" s="22" t="n"/>
      <c r="Q599" s="22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  <c r="AA599" s="22" t="n"/>
    </row>
    <row r="600" ht="11.25" customHeight="1">
      <c r="A600" s="22" t="n"/>
      <c r="B600" s="22" t="n"/>
      <c r="C600" s="22" t="n"/>
      <c r="D600" s="26" t="n"/>
      <c r="E600" s="27" t="n"/>
      <c r="F600" s="27" t="n"/>
      <c r="G600" s="22" t="n"/>
      <c r="H600" s="22" t="n"/>
      <c r="I600" s="22" t="n"/>
      <c r="J600" s="22" t="n"/>
      <c r="K600" s="22" t="n"/>
      <c r="L600" s="22" t="n"/>
      <c r="M600" s="22" t="n"/>
      <c r="N600" s="22" t="n"/>
      <c r="O600" s="22" t="n"/>
      <c r="P600" s="22" t="n"/>
      <c r="Q600" s="22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  <c r="AA600" s="22" t="n"/>
    </row>
    <row r="601" ht="11.25" customHeight="1">
      <c r="A601" s="22" t="n"/>
      <c r="B601" s="22" t="n"/>
      <c r="C601" s="22" t="n"/>
      <c r="D601" s="26" t="n"/>
      <c r="E601" s="27" t="n"/>
      <c r="F601" s="27" t="n"/>
      <c r="G601" s="22" t="n"/>
      <c r="H601" s="22" t="n"/>
      <c r="I601" s="22" t="n"/>
      <c r="J601" s="22" t="n"/>
      <c r="K601" s="22" t="n"/>
      <c r="L601" s="22" t="n"/>
      <c r="M601" s="22" t="n"/>
      <c r="N601" s="22" t="n"/>
      <c r="O601" s="22" t="n"/>
      <c r="P601" s="22" t="n"/>
      <c r="Q601" s="22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  <c r="AA601" s="22" t="n"/>
    </row>
    <row r="602" ht="11.25" customHeight="1">
      <c r="A602" s="22" t="n"/>
      <c r="B602" s="22" t="n"/>
      <c r="C602" s="22" t="n"/>
      <c r="D602" s="26" t="n"/>
      <c r="E602" s="27" t="n"/>
      <c r="F602" s="27" t="n"/>
      <c r="G602" s="22" t="n"/>
      <c r="H602" s="22" t="n"/>
      <c r="I602" s="22" t="n"/>
      <c r="J602" s="22" t="n"/>
      <c r="K602" s="22" t="n"/>
      <c r="L602" s="22" t="n"/>
      <c r="M602" s="22" t="n"/>
      <c r="N602" s="22" t="n"/>
      <c r="O602" s="22" t="n"/>
      <c r="P602" s="22" t="n"/>
      <c r="Q602" s="22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  <c r="AA602" s="22" t="n"/>
    </row>
    <row r="603" ht="11.25" customHeight="1">
      <c r="A603" s="22" t="n"/>
      <c r="B603" s="22" t="n"/>
      <c r="C603" s="22" t="n"/>
      <c r="D603" s="26" t="n"/>
      <c r="E603" s="27" t="n"/>
      <c r="F603" s="27" t="n"/>
      <c r="G603" s="22" t="n"/>
      <c r="H603" s="22" t="n"/>
      <c r="I603" s="22" t="n"/>
      <c r="J603" s="22" t="n"/>
      <c r="K603" s="22" t="n"/>
      <c r="L603" s="22" t="n"/>
      <c r="M603" s="22" t="n"/>
      <c r="N603" s="22" t="n"/>
      <c r="O603" s="22" t="n"/>
      <c r="P603" s="22" t="n"/>
      <c r="Q603" s="22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  <c r="AA603" s="22" t="n"/>
    </row>
    <row r="604" ht="11.25" customHeight="1">
      <c r="A604" s="22" t="n"/>
      <c r="B604" s="22" t="n"/>
      <c r="C604" s="22" t="n"/>
      <c r="D604" s="26" t="n"/>
      <c r="E604" s="27" t="n"/>
      <c r="F604" s="27" t="n"/>
      <c r="G604" s="22" t="n"/>
      <c r="H604" s="22" t="n"/>
      <c r="I604" s="22" t="n"/>
      <c r="J604" s="22" t="n"/>
      <c r="K604" s="22" t="n"/>
      <c r="L604" s="22" t="n"/>
      <c r="M604" s="22" t="n"/>
      <c r="N604" s="22" t="n"/>
      <c r="O604" s="22" t="n"/>
      <c r="P604" s="22" t="n"/>
      <c r="Q604" s="22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  <c r="AA604" s="22" t="n"/>
    </row>
    <row r="605" ht="11.25" customHeight="1">
      <c r="A605" s="22" t="n"/>
      <c r="B605" s="22" t="n"/>
      <c r="C605" s="22" t="n"/>
      <c r="D605" s="26" t="n"/>
      <c r="E605" s="27" t="n"/>
      <c r="F605" s="27" t="n"/>
      <c r="G605" s="22" t="n"/>
      <c r="H605" s="22" t="n"/>
      <c r="I605" s="22" t="n"/>
      <c r="J605" s="22" t="n"/>
      <c r="K605" s="22" t="n"/>
      <c r="L605" s="22" t="n"/>
      <c r="M605" s="22" t="n"/>
      <c r="N605" s="22" t="n"/>
      <c r="O605" s="22" t="n"/>
      <c r="P605" s="22" t="n"/>
      <c r="Q605" s="22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  <c r="AA605" s="22" t="n"/>
    </row>
    <row r="606" ht="11.25" customHeight="1">
      <c r="A606" s="22" t="n"/>
      <c r="B606" s="22" t="n"/>
      <c r="C606" s="22" t="n"/>
      <c r="D606" s="26" t="n"/>
      <c r="E606" s="27" t="n"/>
      <c r="F606" s="27" t="n"/>
      <c r="G606" s="22" t="n"/>
      <c r="H606" s="22" t="n"/>
      <c r="I606" s="22" t="n"/>
      <c r="J606" s="22" t="n"/>
      <c r="K606" s="22" t="n"/>
      <c r="L606" s="22" t="n"/>
      <c r="M606" s="22" t="n"/>
      <c r="N606" s="22" t="n"/>
      <c r="O606" s="22" t="n"/>
      <c r="P606" s="22" t="n"/>
      <c r="Q606" s="22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  <c r="AA606" s="22" t="n"/>
    </row>
    <row r="607" ht="11.25" customHeight="1">
      <c r="A607" s="22" t="n"/>
      <c r="B607" s="22" t="n"/>
      <c r="C607" s="22" t="n"/>
      <c r="D607" s="26" t="n"/>
      <c r="E607" s="27" t="n"/>
      <c r="F607" s="27" t="n"/>
      <c r="G607" s="22" t="n"/>
      <c r="H607" s="22" t="n"/>
      <c r="I607" s="22" t="n"/>
      <c r="J607" s="22" t="n"/>
      <c r="K607" s="22" t="n"/>
      <c r="L607" s="22" t="n"/>
      <c r="M607" s="22" t="n"/>
      <c r="N607" s="22" t="n"/>
      <c r="O607" s="22" t="n"/>
      <c r="P607" s="22" t="n"/>
      <c r="Q607" s="22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  <c r="AA607" s="22" t="n"/>
    </row>
    <row r="608" ht="11.25" customHeight="1">
      <c r="A608" s="22" t="n"/>
      <c r="B608" s="22" t="n"/>
      <c r="C608" s="22" t="n"/>
      <c r="D608" s="26" t="n"/>
      <c r="E608" s="27" t="n"/>
      <c r="F608" s="27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  <c r="P608" s="22" t="n"/>
      <c r="Q608" s="22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  <c r="AA608" s="22" t="n"/>
    </row>
    <row r="609" ht="11.25" customHeight="1">
      <c r="A609" s="22" t="n"/>
      <c r="B609" s="22" t="n"/>
      <c r="C609" s="22" t="n"/>
      <c r="D609" s="26" t="n"/>
      <c r="E609" s="27" t="n"/>
      <c r="F609" s="27" t="n"/>
      <c r="G609" s="22" t="n"/>
      <c r="H609" s="22" t="n"/>
      <c r="I609" s="22" t="n"/>
      <c r="J609" s="22" t="n"/>
      <c r="K609" s="22" t="n"/>
      <c r="L609" s="22" t="n"/>
      <c r="M609" s="22" t="n"/>
      <c r="N609" s="22" t="n"/>
      <c r="O609" s="22" t="n"/>
      <c r="P609" s="22" t="n"/>
      <c r="Q609" s="22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  <c r="AA609" s="22" t="n"/>
    </row>
    <row r="610" ht="11.25" customHeight="1">
      <c r="A610" s="22" t="n"/>
      <c r="B610" s="22" t="n"/>
      <c r="C610" s="22" t="n"/>
      <c r="D610" s="26" t="n"/>
      <c r="E610" s="27" t="n"/>
      <c r="F610" s="27" t="n"/>
      <c r="G610" s="22" t="n"/>
      <c r="H610" s="22" t="n"/>
      <c r="I610" s="22" t="n"/>
      <c r="J610" s="22" t="n"/>
      <c r="K610" s="22" t="n"/>
      <c r="L610" s="22" t="n"/>
      <c r="M610" s="22" t="n"/>
      <c r="N610" s="22" t="n"/>
      <c r="O610" s="22" t="n"/>
      <c r="P610" s="22" t="n"/>
      <c r="Q610" s="22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  <c r="AA610" s="22" t="n"/>
    </row>
    <row r="611" ht="11.25" customHeight="1">
      <c r="A611" s="22" t="n"/>
      <c r="B611" s="22" t="n"/>
      <c r="C611" s="22" t="n"/>
      <c r="D611" s="26" t="n"/>
      <c r="E611" s="27" t="n"/>
      <c r="F611" s="27" t="n"/>
      <c r="G611" s="22" t="n"/>
      <c r="H611" s="22" t="n"/>
      <c r="I611" s="22" t="n"/>
      <c r="J611" s="22" t="n"/>
      <c r="K611" s="22" t="n"/>
      <c r="L611" s="22" t="n"/>
      <c r="M611" s="22" t="n"/>
      <c r="N611" s="22" t="n"/>
      <c r="O611" s="22" t="n"/>
      <c r="P611" s="22" t="n"/>
      <c r="Q611" s="22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  <c r="AA611" s="22" t="n"/>
    </row>
    <row r="612" ht="11.25" customHeight="1">
      <c r="A612" s="22" t="n"/>
      <c r="B612" s="22" t="n"/>
      <c r="C612" s="22" t="n"/>
      <c r="D612" s="26" t="n"/>
      <c r="E612" s="27" t="n"/>
      <c r="F612" s="27" t="n"/>
      <c r="G612" s="22" t="n"/>
      <c r="H612" s="22" t="n"/>
      <c r="I612" s="22" t="n"/>
      <c r="J612" s="22" t="n"/>
      <c r="K612" s="22" t="n"/>
      <c r="L612" s="22" t="n"/>
      <c r="M612" s="22" t="n"/>
      <c r="N612" s="22" t="n"/>
      <c r="O612" s="22" t="n"/>
      <c r="P612" s="22" t="n"/>
      <c r="Q612" s="22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  <c r="AA612" s="22" t="n"/>
    </row>
    <row r="613" ht="11.25" customHeight="1">
      <c r="A613" s="22" t="n"/>
      <c r="B613" s="22" t="n"/>
      <c r="C613" s="22" t="n"/>
      <c r="D613" s="26" t="n"/>
      <c r="E613" s="27" t="n"/>
      <c r="F613" s="27" t="n"/>
      <c r="G613" s="22" t="n"/>
      <c r="H613" s="22" t="n"/>
      <c r="I613" s="22" t="n"/>
      <c r="J613" s="22" t="n"/>
      <c r="K613" s="22" t="n"/>
      <c r="L613" s="22" t="n"/>
      <c r="M613" s="22" t="n"/>
      <c r="N613" s="22" t="n"/>
      <c r="O613" s="22" t="n"/>
      <c r="P613" s="22" t="n"/>
      <c r="Q613" s="22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  <c r="AA613" s="22" t="n"/>
    </row>
    <row r="614" ht="11.25" customHeight="1">
      <c r="A614" s="22" t="n"/>
      <c r="B614" s="22" t="n"/>
      <c r="C614" s="22" t="n"/>
      <c r="D614" s="26" t="n"/>
      <c r="E614" s="27" t="n"/>
      <c r="F614" s="27" t="n"/>
      <c r="G614" s="22" t="n"/>
      <c r="H614" s="22" t="n"/>
      <c r="I614" s="22" t="n"/>
      <c r="J614" s="22" t="n"/>
      <c r="K614" s="22" t="n"/>
      <c r="L614" s="22" t="n"/>
      <c r="M614" s="22" t="n"/>
      <c r="N614" s="22" t="n"/>
      <c r="O614" s="22" t="n"/>
      <c r="P614" s="22" t="n"/>
      <c r="Q614" s="22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  <c r="AA614" s="22" t="n"/>
    </row>
    <row r="615" ht="11.25" customHeight="1">
      <c r="A615" s="22" t="n"/>
      <c r="B615" s="22" t="n"/>
      <c r="C615" s="22" t="n"/>
      <c r="D615" s="26" t="n"/>
      <c r="E615" s="27" t="n"/>
      <c r="F615" s="27" t="n"/>
      <c r="G615" s="22" t="n"/>
      <c r="H615" s="22" t="n"/>
      <c r="I615" s="22" t="n"/>
      <c r="J615" s="22" t="n"/>
      <c r="K615" s="22" t="n"/>
      <c r="L615" s="22" t="n"/>
      <c r="M615" s="22" t="n"/>
      <c r="N615" s="22" t="n"/>
      <c r="O615" s="22" t="n"/>
      <c r="P615" s="22" t="n"/>
      <c r="Q615" s="22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  <c r="AA615" s="22" t="n"/>
    </row>
    <row r="616" ht="11.25" customHeight="1">
      <c r="A616" s="22" t="n"/>
      <c r="B616" s="22" t="n"/>
      <c r="C616" s="22" t="n"/>
      <c r="D616" s="26" t="n"/>
      <c r="E616" s="27" t="n"/>
      <c r="F616" s="27" t="n"/>
      <c r="G616" s="22" t="n"/>
      <c r="H616" s="22" t="n"/>
      <c r="I616" s="22" t="n"/>
      <c r="J616" s="22" t="n"/>
      <c r="K616" s="22" t="n"/>
      <c r="L616" s="22" t="n"/>
      <c r="M616" s="22" t="n"/>
      <c r="N616" s="22" t="n"/>
      <c r="O616" s="22" t="n"/>
      <c r="P616" s="22" t="n"/>
      <c r="Q616" s="22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  <c r="AA616" s="22" t="n"/>
    </row>
    <row r="617" ht="11.25" customHeight="1">
      <c r="A617" s="22" t="n"/>
      <c r="B617" s="22" t="n"/>
      <c r="C617" s="22" t="n"/>
      <c r="D617" s="26" t="n"/>
      <c r="E617" s="27" t="n"/>
      <c r="F617" s="27" t="n"/>
      <c r="G617" s="22" t="n"/>
      <c r="H617" s="22" t="n"/>
      <c r="I617" s="22" t="n"/>
      <c r="J617" s="22" t="n"/>
      <c r="K617" s="22" t="n"/>
      <c r="L617" s="22" t="n"/>
      <c r="M617" s="22" t="n"/>
      <c r="N617" s="22" t="n"/>
      <c r="O617" s="22" t="n"/>
      <c r="P617" s="22" t="n"/>
      <c r="Q617" s="22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  <c r="AA617" s="22" t="n"/>
    </row>
    <row r="618" ht="11.25" customHeight="1">
      <c r="A618" s="22" t="n"/>
      <c r="B618" s="22" t="n"/>
      <c r="C618" s="22" t="n"/>
      <c r="D618" s="26" t="n"/>
      <c r="E618" s="27" t="n"/>
      <c r="F618" s="27" t="n"/>
      <c r="G618" s="22" t="n"/>
      <c r="H618" s="22" t="n"/>
      <c r="I618" s="22" t="n"/>
      <c r="J618" s="22" t="n"/>
      <c r="K618" s="22" t="n"/>
      <c r="L618" s="22" t="n"/>
      <c r="M618" s="22" t="n"/>
      <c r="N618" s="22" t="n"/>
      <c r="O618" s="22" t="n"/>
      <c r="P618" s="22" t="n"/>
      <c r="Q618" s="22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  <c r="AA618" s="22" t="n"/>
    </row>
    <row r="619" ht="11.25" customHeight="1">
      <c r="A619" s="22" t="n"/>
      <c r="B619" s="22" t="n"/>
      <c r="C619" s="22" t="n"/>
      <c r="D619" s="26" t="n"/>
      <c r="E619" s="27" t="n"/>
      <c r="F619" s="27" t="n"/>
      <c r="G619" s="22" t="n"/>
      <c r="H619" s="22" t="n"/>
      <c r="I619" s="22" t="n"/>
      <c r="J619" s="22" t="n"/>
      <c r="K619" s="22" t="n"/>
      <c r="L619" s="22" t="n"/>
      <c r="M619" s="22" t="n"/>
      <c r="N619" s="22" t="n"/>
      <c r="O619" s="22" t="n"/>
      <c r="P619" s="22" t="n"/>
      <c r="Q619" s="22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  <c r="AA619" s="22" t="n"/>
    </row>
    <row r="620" ht="11.25" customHeight="1">
      <c r="A620" s="22" t="n"/>
      <c r="B620" s="22" t="n"/>
      <c r="C620" s="22" t="n"/>
      <c r="D620" s="26" t="n"/>
      <c r="E620" s="27" t="n"/>
      <c r="F620" s="27" t="n"/>
      <c r="G620" s="22" t="n"/>
      <c r="H620" s="22" t="n"/>
      <c r="I620" s="22" t="n"/>
      <c r="J620" s="22" t="n"/>
      <c r="K620" s="22" t="n"/>
      <c r="L620" s="22" t="n"/>
      <c r="M620" s="22" t="n"/>
      <c r="N620" s="22" t="n"/>
      <c r="O620" s="22" t="n"/>
      <c r="P620" s="22" t="n"/>
      <c r="Q620" s="22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  <c r="AA620" s="22" t="n"/>
    </row>
    <row r="621" ht="11.25" customHeight="1">
      <c r="A621" s="22" t="n"/>
      <c r="B621" s="22" t="n"/>
      <c r="C621" s="22" t="n"/>
      <c r="D621" s="26" t="n"/>
      <c r="E621" s="27" t="n"/>
      <c r="F621" s="27" t="n"/>
      <c r="G621" s="22" t="n"/>
      <c r="H621" s="22" t="n"/>
      <c r="I621" s="22" t="n"/>
      <c r="J621" s="22" t="n"/>
      <c r="K621" s="22" t="n"/>
      <c r="L621" s="22" t="n"/>
      <c r="M621" s="22" t="n"/>
      <c r="N621" s="22" t="n"/>
      <c r="O621" s="22" t="n"/>
      <c r="P621" s="22" t="n"/>
      <c r="Q621" s="22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  <c r="AA621" s="22" t="n"/>
    </row>
    <row r="622" ht="11.25" customHeight="1">
      <c r="A622" s="22" t="n"/>
      <c r="B622" s="22" t="n"/>
      <c r="C622" s="22" t="n"/>
      <c r="D622" s="26" t="n"/>
      <c r="E622" s="27" t="n"/>
      <c r="F622" s="27" t="n"/>
      <c r="G622" s="22" t="n"/>
      <c r="H622" s="22" t="n"/>
      <c r="I622" s="22" t="n"/>
      <c r="J622" s="22" t="n"/>
      <c r="K622" s="22" t="n"/>
      <c r="L622" s="22" t="n"/>
      <c r="M622" s="22" t="n"/>
      <c r="N622" s="22" t="n"/>
      <c r="O622" s="22" t="n"/>
      <c r="P622" s="22" t="n"/>
      <c r="Q622" s="22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  <c r="AA622" s="22" t="n"/>
    </row>
    <row r="623" ht="11.25" customHeight="1">
      <c r="A623" s="22" t="n"/>
      <c r="B623" s="22" t="n"/>
      <c r="C623" s="22" t="n"/>
      <c r="D623" s="26" t="n"/>
      <c r="E623" s="27" t="n"/>
      <c r="F623" s="27" t="n"/>
      <c r="G623" s="22" t="n"/>
      <c r="H623" s="22" t="n"/>
      <c r="I623" s="22" t="n"/>
      <c r="J623" s="22" t="n"/>
      <c r="K623" s="22" t="n"/>
      <c r="L623" s="22" t="n"/>
      <c r="M623" s="22" t="n"/>
      <c r="N623" s="22" t="n"/>
      <c r="O623" s="22" t="n"/>
      <c r="P623" s="22" t="n"/>
      <c r="Q623" s="22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  <c r="AA623" s="22" t="n"/>
    </row>
    <row r="624" ht="11.25" customHeight="1">
      <c r="A624" s="22" t="n"/>
      <c r="B624" s="22" t="n"/>
      <c r="C624" s="22" t="n"/>
      <c r="D624" s="26" t="n"/>
      <c r="E624" s="27" t="n"/>
      <c r="F624" s="27" t="n"/>
      <c r="G624" s="22" t="n"/>
      <c r="H624" s="22" t="n"/>
      <c r="I624" s="22" t="n"/>
      <c r="J624" s="22" t="n"/>
      <c r="K624" s="22" t="n"/>
      <c r="L624" s="22" t="n"/>
      <c r="M624" s="22" t="n"/>
      <c r="N624" s="22" t="n"/>
      <c r="O624" s="22" t="n"/>
      <c r="P624" s="22" t="n"/>
      <c r="Q624" s="22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  <c r="AA624" s="22" t="n"/>
    </row>
    <row r="625" ht="11.25" customHeight="1">
      <c r="A625" s="22" t="n"/>
      <c r="B625" s="22" t="n"/>
      <c r="C625" s="22" t="n"/>
      <c r="D625" s="26" t="n"/>
      <c r="E625" s="27" t="n"/>
      <c r="F625" s="27" t="n"/>
      <c r="G625" s="22" t="n"/>
      <c r="H625" s="22" t="n"/>
      <c r="I625" s="22" t="n"/>
      <c r="J625" s="22" t="n"/>
      <c r="K625" s="22" t="n"/>
      <c r="L625" s="22" t="n"/>
      <c r="M625" s="22" t="n"/>
      <c r="N625" s="22" t="n"/>
      <c r="O625" s="22" t="n"/>
      <c r="P625" s="22" t="n"/>
      <c r="Q625" s="22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  <c r="AA625" s="22" t="n"/>
    </row>
    <row r="626" ht="11.25" customHeight="1">
      <c r="A626" s="22" t="n"/>
      <c r="B626" s="22" t="n"/>
      <c r="C626" s="22" t="n"/>
      <c r="D626" s="26" t="n"/>
      <c r="E626" s="27" t="n"/>
      <c r="F626" s="27" t="n"/>
      <c r="G626" s="22" t="n"/>
      <c r="H626" s="22" t="n"/>
      <c r="I626" s="22" t="n"/>
      <c r="J626" s="22" t="n"/>
      <c r="K626" s="22" t="n"/>
      <c r="L626" s="22" t="n"/>
      <c r="M626" s="22" t="n"/>
      <c r="N626" s="22" t="n"/>
      <c r="O626" s="22" t="n"/>
      <c r="P626" s="22" t="n"/>
      <c r="Q626" s="22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  <c r="AA626" s="22" t="n"/>
    </row>
    <row r="627" ht="11.25" customHeight="1">
      <c r="A627" s="22" t="n"/>
      <c r="B627" s="22" t="n"/>
      <c r="C627" s="22" t="n"/>
      <c r="D627" s="26" t="n"/>
      <c r="E627" s="27" t="n"/>
      <c r="F627" s="27" t="n"/>
      <c r="G627" s="22" t="n"/>
      <c r="H627" s="22" t="n"/>
      <c r="I627" s="22" t="n"/>
      <c r="J627" s="22" t="n"/>
      <c r="K627" s="22" t="n"/>
      <c r="L627" s="22" t="n"/>
      <c r="M627" s="22" t="n"/>
      <c r="N627" s="22" t="n"/>
      <c r="O627" s="22" t="n"/>
      <c r="P627" s="22" t="n"/>
      <c r="Q627" s="22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  <c r="AA627" s="22" t="n"/>
    </row>
    <row r="628" ht="11.25" customHeight="1">
      <c r="A628" s="22" t="n"/>
      <c r="B628" s="22" t="n"/>
      <c r="C628" s="22" t="n"/>
      <c r="D628" s="26" t="n"/>
      <c r="E628" s="27" t="n"/>
      <c r="F628" s="27" t="n"/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  <c r="AA628" s="22" t="n"/>
    </row>
    <row r="629" ht="11.25" customHeight="1">
      <c r="A629" s="22" t="n"/>
      <c r="B629" s="22" t="n"/>
      <c r="C629" s="22" t="n"/>
      <c r="D629" s="26" t="n"/>
      <c r="E629" s="27" t="n"/>
      <c r="F629" s="27" t="n"/>
      <c r="G629" s="22" t="n"/>
      <c r="H629" s="22" t="n"/>
      <c r="I629" s="22" t="n"/>
      <c r="J629" s="22" t="n"/>
      <c r="K629" s="22" t="n"/>
      <c r="L629" s="22" t="n"/>
      <c r="M629" s="22" t="n"/>
      <c r="N629" s="22" t="n"/>
      <c r="O629" s="22" t="n"/>
      <c r="P629" s="22" t="n"/>
      <c r="Q629" s="22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  <c r="AA629" s="22" t="n"/>
    </row>
    <row r="630" ht="11.25" customHeight="1">
      <c r="A630" s="22" t="n"/>
      <c r="B630" s="22" t="n"/>
      <c r="C630" s="22" t="n"/>
      <c r="D630" s="26" t="n"/>
      <c r="E630" s="27" t="n"/>
      <c r="F630" s="27" t="n"/>
      <c r="G630" s="22" t="n"/>
      <c r="H630" s="22" t="n"/>
      <c r="I630" s="22" t="n"/>
      <c r="J630" s="22" t="n"/>
      <c r="K630" s="22" t="n"/>
      <c r="L630" s="22" t="n"/>
      <c r="M630" s="22" t="n"/>
      <c r="N630" s="22" t="n"/>
      <c r="O630" s="22" t="n"/>
      <c r="P630" s="22" t="n"/>
      <c r="Q630" s="22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  <c r="AA630" s="22" t="n"/>
    </row>
    <row r="631" ht="11.25" customHeight="1">
      <c r="A631" s="22" t="n"/>
      <c r="B631" s="22" t="n"/>
      <c r="C631" s="22" t="n"/>
      <c r="D631" s="26" t="n"/>
      <c r="E631" s="27" t="n"/>
      <c r="F631" s="27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  <c r="AA631" s="22" t="n"/>
    </row>
    <row r="632" ht="11.25" customHeight="1">
      <c r="A632" s="22" t="n"/>
      <c r="B632" s="22" t="n"/>
      <c r="C632" s="22" t="n"/>
      <c r="D632" s="26" t="n"/>
      <c r="E632" s="27" t="n"/>
      <c r="F632" s="27" t="n"/>
      <c r="G632" s="22" t="n"/>
      <c r="H632" s="22" t="n"/>
      <c r="I632" s="22" t="n"/>
      <c r="J632" s="22" t="n"/>
      <c r="K632" s="22" t="n"/>
      <c r="L632" s="22" t="n"/>
      <c r="M632" s="22" t="n"/>
      <c r="N632" s="22" t="n"/>
      <c r="O632" s="22" t="n"/>
      <c r="P632" s="22" t="n"/>
      <c r="Q632" s="22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  <c r="AA632" s="22" t="n"/>
    </row>
    <row r="633" ht="11.25" customHeight="1">
      <c r="A633" s="22" t="n"/>
      <c r="B633" s="22" t="n"/>
      <c r="C633" s="22" t="n"/>
      <c r="D633" s="26" t="n"/>
      <c r="E633" s="27" t="n"/>
      <c r="F633" s="27" t="n"/>
      <c r="G633" s="22" t="n"/>
      <c r="H633" s="22" t="n"/>
      <c r="I633" s="22" t="n"/>
      <c r="J633" s="22" t="n"/>
      <c r="K633" s="22" t="n"/>
      <c r="L633" s="22" t="n"/>
      <c r="M633" s="22" t="n"/>
      <c r="N633" s="22" t="n"/>
      <c r="O633" s="22" t="n"/>
      <c r="P633" s="22" t="n"/>
      <c r="Q633" s="22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  <c r="AA633" s="22" t="n"/>
    </row>
    <row r="634" ht="11.25" customHeight="1">
      <c r="A634" s="22" t="n"/>
      <c r="B634" s="22" t="n"/>
      <c r="C634" s="22" t="n"/>
      <c r="D634" s="26" t="n"/>
      <c r="E634" s="27" t="n"/>
      <c r="F634" s="27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  <c r="AA634" s="22" t="n"/>
    </row>
    <row r="635" ht="11.25" customHeight="1">
      <c r="A635" s="22" t="n"/>
      <c r="B635" s="22" t="n"/>
      <c r="C635" s="22" t="n"/>
      <c r="D635" s="26" t="n"/>
      <c r="E635" s="27" t="n"/>
      <c r="F635" s="27" t="n"/>
      <c r="G635" s="22" t="n"/>
      <c r="H635" s="22" t="n"/>
      <c r="I635" s="22" t="n"/>
      <c r="J635" s="22" t="n"/>
      <c r="K635" s="22" t="n"/>
      <c r="L635" s="22" t="n"/>
      <c r="M635" s="22" t="n"/>
      <c r="N635" s="22" t="n"/>
      <c r="O635" s="22" t="n"/>
      <c r="P635" s="22" t="n"/>
      <c r="Q635" s="22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  <c r="AA635" s="22" t="n"/>
    </row>
    <row r="636" ht="11.25" customHeight="1">
      <c r="A636" s="22" t="n"/>
      <c r="B636" s="22" t="n"/>
      <c r="C636" s="22" t="n"/>
      <c r="D636" s="26" t="n"/>
      <c r="E636" s="27" t="n"/>
      <c r="F636" s="27" t="n"/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  <c r="AA636" s="22" t="n"/>
    </row>
    <row r="637" ht="11.25" customHeight="1">
      <c r="A637" s="22" t="n"/>
      <c r="B637" s="22" t="n"/>
      <c r="C637" s="22" t="n"/>
      <c r="D637" s="26" t="n"/>
      <c r="E637" s="27" t="n"/>
      <c r="F637" s="27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  <c r="AA637" s="22" t="n"/>
    </row>
    <row r="638" ht="11.25" customHeight="1">
      <c r="A638" s="22" t="n"/>
      <c r="B638" s="22" t="n"/>
      <c r="C638" s="22" t="n"/>
      <c r="D638" s="26" t="n"/>
      <c r="E638" s="27" t="n"/>
      <c r="F638" s="27" t="n"/>
      <c r="G638" s="22" t="n"/>
      <c r="H638" s="22" t="n"/>
      <c r="I638" s="22" t="n"/>
      <c r="J638" s="22" t="n"/>
      <c r="K638" s="22" t="n"/>
      <c r="L638" s="22" t="n"/>
      <c r="M638" s="22" t="n"/>
      <c r="N638" s="22" t="n"/>
      <c r="O638" s="22" t="n"/>
      <c r="P638" s="22" t="n"/>
      <c r="Q638" s="22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  <c r="AA638" s="22" t="n"/>
    </row>
    <row r="639" ht="11.25" customHeight="1">
      <c r="A639" s="22" t="n"/>
      <c r="B639" s="22" t="n"/>
      <c r="C639" s="22" t="n"/>
      <c r="D639" s="26" t="n"/>
      <c r="E639" s="27" t="n"/>
      <c r="F639" s="27" t="n"/>
      <c r="G639" s="22" t="n"/>
      <c r="H639" s="22" t="n"/>
      <c r="I639" s="22" t="n"/>
      <c r="J639" s="22" t="n"/>
      <c r="K639" s="22" t="n"/>
      <c r="L639" s="22" t="n"/>
      <c r="M639" s="22" t="n"/>
      <c r="N639" s="22" t="n"/>
      <c r="O639" s="22" t="n"/>
      <c r="P639" s="22" t="n"/>
      <c r="Q639" s="22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  <c r="AA639" s="22" t="n"/>
    </row>
    <row r="640" ht="11.25" customHeight="1">
      <c r="A640" s="22" t="n"/>
      <c r="B640" s="22" t="n"/>
      <c r="C640" s="22" t="n"/>
      <c r="D640" s="26" t="n"/>
      <c r="E640" s="27" t="n"/>
      <c r="F640" s="27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  <c r="AA640" s="22" t="n"/>
    </row>
    <row r="641" ht="11.25" customHeight="1">
      <c r="A641" s="22" t="n"/>
      <c r="B641" s="22" t="n"/>
      <c r="C641" s="22" t="n"/>
      <c r="D641" s="26" t="n"/>
      <c r="E641" s="27" t="n"/>
      <c r="F641" s="27" t="n"/>
      <c r="G641" s="22" t="n"/>
      <c r="H641" s="22" t="n"/>
      <c r="I641" s="22" t="n"/>
      <c r="J641" s="22" t="n"/>
      <c r="K641" s="22" t="n"/>
      <c r="L641" s="22" t="n"/>
      <c r="M641" s="22" t="n"/>
      <c r="N641" s="22" t="n"/>
      <c r="O641" s="22" t="n"/>
      <c r="P641" s="22" t="n"/>
      <c r="Q641" s="22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  <c r="AA641" s="22" t="n"/>
    </row>
    <row r="642" ht="11.25" customHeight="1">
      <c r="A642" s="22" t="n"/>
      <c r="B642" s="22" t="n"/>
      <c r="C642" s="22" t="n"/>
      <c r="D642" s="26" t="n"/>
      <c r="E642" s="27" t="n"/>
      <c r="F642" s="27" t="n"/>
      <c r="G642" s="22" t="n"/>
      <c r="H642" s="22" t="n"/>
      <c r="I642" s="22" t="n"/>
      <c r="J642" s="22" t="n"/>
      <c r="K642" s="22" t="n"/>
      <c r="L642" s="22" t="n"/>
      <c r="M642" s="22" t="n"/>
      <c r="N642" s="22" t="n"/>
      <c r="O642" s="22" t="n"/>
      <c r="P642" s="22" t="n"/>
      <c r="Q642" s="22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  <c r="AA642" s="22" t="n"/>
    </row>
    <row r="643" ht="11.25" customHeight="1">
      <c r="A643" s="22" t="n"/>
      <c r="B643" s="22" t="n"/>
      <c r="C643" s="22" t="n"/>
      <c r="D643" s="26" t="n"/>
      <c r="E643" s="27" t="n"/>
      <c r="F643" s="27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  <c r="AA643" s="22" t="n"/>
    </row>
    <row r="644" ht="11.25" customHeight="1">
      <c r="A644" s="22" t="n"/>
      <c r="B644" s="22" t="n"/>
      <c r="C644" s="22" t="n"/>
      <c r="D644" s="26" t="n"/>
      <c r="E644" s="27" t="n"/>
      <c r="F644" s="27" t="n"/>
      <c r="G644" s="22" t="n"/>
      <c r="H644" s="22" t="n"/>
      <c r="I644" s="22" t="n"/>
      <c r="J644" s="22" t="n"/>
      <c r="K644" s="22" t="n"/>
      <c r="L644" s="22" t="n"/>
      <c r="M644" s="22" t="n"/>
      <c r="N644" s="22" t="n"/>
      <c r="O644" s="22" t="n"/>
      <c r="P644" s="22" t="n"/>
      <c r="Q644" s="22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  <c r="AA644" s="22" t="n"/>
    </row>
    <row r="645" ht="11.25" customHeight="1">
      <c r="A645" s="22" t="n"/>
      <c r="B645" s="22" t="n"/>
      <c r="C645" s="22" t="n"/>
      <c r="D645" s="26" t="n"/>
      <c r="E645" s="27" t="n"/>
      <c r="F645" s="27" t="n"/>
      <c r="G645" s="22" t="n"/>
      <c r="H645" s="22" t="n"/>
      <c r="I645" s="22" t="n"/>
      <c r="J645" s="22" t="n"/>
      <c r="K645" s="22" t="n"/>
      <c r="L645" s="22" t="n"/>
      <c r="M645" s="22" t="n"/>
      <c r="N645" s="22" t="n"/>
      <c r="O645" s="22" t="n"/>
      <c r="P645" s="22" t="n"/>
      <c r="Q645" s="22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  <c r="AA645" s="22" t="n"/>
    </row>
    <row r="646" ht="11.25" customHeight="1">
      <c r="A646" s="22" t="n"/>
      <c r="B646" s="22" t="n"/>
      <c r="C646" s="22" t="n"/>
      <c r="D646" s="26" t="n"/>
      <c r="E646" s="27" t="n"/>
      <c r="F646" s="27" t="n"/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  <c r="AA646" s="22" t="n"/>
    </row>
    <row r="647" ht="11.25" customHeight="1">
      <c r="A647" s="22" t="n"/>
      <c r="B647" s="22" t="n"/>
      <c r="C647" s="22" t="n"/>
      <c r="D647" s="26" t="n"/>
      <c r="E647" s="27" t="n"/>
      <c r="F647" s="27" t="n"/>
      <c r="G647" s="22" t="n"/>
      <c r="H647" s="22" t="n"/>
      <c r="I647" s="22" t="n"/>
      <c r="J647" s="22" t="n"/>
      <c r="K647" s="22" t="n"/>
      <c r="L647" s="22" t="n"/>
      <c r="M647" s="22" t="n"/>
      <c r="N647" s="22" t="n"/>
      <c r="O647" s="22" t="n"/>
      <c r="P647" s="22" t="n"/>
      <c r="Q647" s="22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  <c r="AA647" s="22" t="n"/>
    </row>
    <row r="648" ht="11.25" customHeight="1">
      <c r="A648" s="22" t="n"/>
      <c r="B648" s="22" t="n"/>
      <c r="C648" s="22" t="n"/>
      <c r="D648" s="26" t="n"/>
      <c r="E648" s="27" t="n"/>
      <c r="F648" s="27" t="n"/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  <c r="AA648" s="22" t="n"/>
    </row>
    <row r="649" ht="11.25" customHeight="1">
      <c r="A649" s="22" t="n"/>
      <c r="B649" s="22" t="n"/>
      <c r="C649" s="22" t="n"/>
      <c r="D649" s="26" t="n"/>
      <c r="E649" s="27" t="n"/>
      <c r="F649" s="27" t="n"/>
      <c r="G649" s="22" t="n"/>
      <c r="H649" s="22" t="n"/>
      <c r="I649" s="22" t="n"/>
      <c r="J649" s="22" t="n"/>
      <c r="K649" s="22" t="n"/>
      <c r="L649" s="22" t="n"/>
      <c r="M649" s="22" t="n"/>
      <c r="N649" s="22" t="n"/>
      <c r="O649" s="22" t="n"/>
      <c r="P649" s="22" t="n"/>
      <c r="Q649" s="22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  <c r="AA649" s="22" t="n"/>
    </row>
    <row r="650" ht="11.25" customHeight="1">
      <c r="A650" s="22" t="n"/>
      <c r="B650" s="22" t="n"/>
      <c r="C650" s="22" t="n"/>
      <c r="D650" s="26" t="n"/>
      <c r="E650" s="27" t="n"/>
      <c r="F650" s="27" t="n"/>
      <c r="G650" s="22" t="n"/>
      <c r="H650" s="22" t="n"/>
      <c r="I650" s="22" t="n"/>
      <c r="J650" s="22" t="n"/>
      <c r="K650" s="22" t="n"/>
      <c r="L650" s="22" t="n"/>
      <c r="M650" s="22" t="n"/>
      <c r="N650" s="22" t="n"/>
      <c r="O650" s="22" t="n"/>
      <c r="P650" s="22" t="n"/>
      <c r="Q650" s="22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  <c r="AA650" s="22" t="n"/>
    </row>
    <row r="651" ht="11.25" customHeight="1">
      <c r="A651" s="22" t="n"/>
      <c r="B651" s="22" t="n"/>
      <c r="C651" s="22" t="n"/>
      <c r="D651" s="26" t="n"/>
      <c r="E651" s="27" t="n"/>
      <c r="F651" s="27" t="n"/>
      <c r="G651" s="22" t="n"/>
      <c r="H651" s="22" t="n"/>
      <c r="I651" s="22" t="n"/>
      <c r="J651" s="22" t="n"/>
      <c r="K651" s="22" t="n"/>
      <c r="L651" s="22" t="n"/>
      <c r="M651" s="22" t="n"/>
      <c r="N651" s="22" t="n"/>
      <c r="O651" s="22" t="n"/>
      <c r="P651" s="22" t="n"/>
      <c r="Q651" s="22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  <c r="AA651" s="22" t="n"/>
    </row>
    <row r="652" ht="11.25" customHeight="1">
      <c r="A652" s="22" t="n"/>
      <c r="B652" s="22" t="n"/>
      <c r="C652" s="22" t="n"/>
      <c r="D652" s="26" t="n"/>
      <c r="E652" s="27" t="n"/>
      <c r="F652" s="27" t="n"/>
      <c r="G652" s="22" t="n"/>
      <c r="H652" s="22" t="n"/>
      <c r="I652" s="22" t="n"/>
      <c r="J652" s="22" t="n"/>
      <c r="K652" s="22" t="n"/>
      <c r="L652" s="22" t="n"/>
      <c r="M652" s="22" t="n"/>
      <c r="N652" s="22" t="n"/>
      <c r="O652" s="22" t="n"/>
      <c r="P652" s="22" t="n"/>
      <c r="Q652" s="22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  <c r="AA652" s="22" t="n"/>
    </row>
    <row r="653" ht="11.25" customHeight="1">
      <c r="A653" s="22" t="n"/>
      <c r="B653" s="22" t="n"/>
      <c r="C653" s="22" t="n"/>
      <c r="D653" s="26" t="n"/>
      <c r="E653" s="27" t="n"/>
      <c r="F653" s="27" t="n"/>
      <c r="G653" s="22" t="n"/>
      <c r="H653" s="22" t="n"/>
      <c r="I653" s="22" t="n"/>
      <c r="J653" s="22" t="n"/>
      <c r="K653" s="22" t="n"/>
      <c r="L653" s="22" t="n"/>
      <c r="M653" s="22" t="n"/>
      <c r="N653" s="22" t="n"/>
      <c r="O653" s="22" t="n"/>
      <c r="P653" s="22" t="n"/>
      <c r="Q653" s="22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  <c r="AA653" s="22" t="n"/>
    </row>
    <row r="654" ht="11.25" customHeight="1">
      <c r="A654" s="22" t="n"/>
      <c r="B654" s="22" t="n"/>
      <c r="C654" s="22" t="n"/>
      <c r="D654" s="26" t="n"/>
      <c r="E654" s="27" t="n"/>
      <c r="F654" s="27" t="n"/>
      <c r="G654" s="22" t="n"/>
      <c r="H654" s="22" t="n"/>
      <c r="I654" s="22" t="n"/>
      <c r="J654" s="22" t="n"/>
      <c r="K654" s="22" t="n"/>
      <c r="L654" s="22" t="n"/>
      <c r="M654" s="22" t="n"/>
      <c r="N654" s="22" t="n"/>
      <c r="O654" s="22" t="n"/>
      <c r="P654" s="22" t="n"/>
      <c r="Q654" s="22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  <c r="AA654" s="22" t="n"/>
    </row>
    <row r="655" ht="11.25" customHeight="1">
      <c r="A655" s="22" t="n"/>
      <c r="B655" s="22" t="n"/>
      <c r="C655" s="22" t="n"/>
      <c r="D655" s="26" t="n"/>
      <c r="E655" s="27" t="n"/>
      <c r="F655" s="27" t="n"/>
      <c r="G655" s="22" t="n"/>
      <c r="H655" s="22" t="n"/>
      <c r="I655" s="22" t="n"/>
      <c r="J655" s="22" t="n"/>
      <c r="K655" s="22" t="n"/>
      <c r="L655" s="22" t="n"/>
      <c r="M655" s="22" t="n"/>
      <c r="N655" s="22" t="n"/>
      <c r="O655" s="22" t="n"/>
      <c r="P655" s="22" t="n"/>
      <c r="Q655" s="22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  <c r="AA655" s="22" t="n"/>
    </row>
    <row r="656" ht="11.25" customHeight="1">
      <c r="A656" s="22" t="n"/>
      <c r="B656" s="22" t="n"/>
      <c r="C656" s="22" t="n"/>
      <c r="D656" s="26" t="n"/>
      <c r="E656" s="27" t="n"/>
      <c r="F656" s="27" t="n"/>
      <c r="G656" s="22" t="n"/>
      <c r="H656" s="22" t="n"/>
      <c r="I656" s="22" t="n"/>
      <c r="J656" s="22" t="n"/>
      <c r="K656" s="22" t="n"/>
      <c r="L656" s="22" t="n"/>
      <c r="M656" s="22" t="n"/>
      <c r="N656" s="22" t="n"/>
      <c r="O656" s="22" t="n"/>
      <c r="P656" s="22" t="n"/>
      <c r="Q656" s="22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  <c r="AA656" s="22" t="n"/>
    </row>
    <row r="657" ht="11.25" customHeight="1">
      <c r="A657" s="22" t="n"/>
      <c r="B657" s="22" t="n"/>
      <c r="C657" s="22" t="n"/>
      <c r="D657" s="26" t="n"/>
      <c r="E657" s="27" t="n"/>
      <c r="F657" s="27" t="n"/>
      <c r="G657" s="22" t="n"/>
      <c r="H657" s="22" t="n"/>
      <c r="I657" s="22" t="n"/>
      <c r="J657" s="22" t="n"/>
      <c r="K657" s="22" t="n"/>
      <c r="L657" s="22" t="n"/>
      <c r="M657" s="22" t="n"/>
      <c r="N657" s="22" t="n"/>
      <c r="O657" s="22" t="n"/>
      <c r="P657" s="22" t="n"/>
      <c r="Q657" s="22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  <c r="AA657" s="22" t="n"/>
    </row>
    <row r="658" ht="11.25" customHeight="1">
      <c r="A658" s="22" t="n"/>
      <c r="B658" s="22" t="n"/>
      <c r="C658" s="22" t="n"/>
      <c r="D658" s="26" t="n"/>
      <c r="E658" s="27" t="n"/>
      <c r="F658" s="27" t="n"/>
      <c r="G658" s="22" t="n"/>
      <c r="H658" s="22" t="n"/>
      <c r="I658" s="22" t="n"/>
      <c r="J658" s="22" t="n"/>
      <c r="K658" s="22" t="n"/>
      <c r="L658" s="22" t="n"/>
      <c r="M658" s="22" t="n"/>
      <c r="N658" s="22" t="n"/>
      <c r="O658" s="22" t="n"/>
      <c r="P658" s="22" t="n"/>
      <c r="Q658" s="22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  <c r="AA658" s="22" t="n"/>
    </row>
    <row r="659" ht="11.25" customHeight="1">
      <c r="A659" s="22" t="n"/>
      <c r="B659" s="22" t="n"/>
      <c r="C659" s="22" t="n"/>
      <c r="D659" s="26" t="n"/>
      <c r="E659" s="27" t="n"/>
      <c r="F659" s="27" t="n"/>
      <c r="G659" s="22" t="n"/>
      <c r="H659" s="22" t="n"/>
      <c r="I659" s="22" t="n"/>
      <c r="J659" s="22" t="n"/>
      <c r="K659" s="22" t="n"/>
      <c r="L659" s="22" t="n"/>
      <c r="M659" s="22" t="n"/>
      <c r="N659" s="22" t="n"/>
      <c r="O659" s="22" t="n"/>
      <c r="P659" s="22" t="n"/>
      <c r="Q659" s="22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  <c r="AA659" s="22" t="n"/>
    </row>
    <row r="660" ht="11.25" customHeight="1">
      <c r="A660" s="22" t="n"/>
      <c r="B660" s="22" t="n"/>
      <c r="C660" s="22" t="n"/>
      <c r="D660" s="26" t="n"/>
      <c r="E660" s="27" t="n"/>
      <c r="F660" s="27" t="n"/>
      <c r="G660" s="22" t="n"/>
      <c r="H660" s="22" t="n"/>
      <c r="I660" s="22" t="n"/>
      <c r="J660" s="22" t="n"/>
      <c r="K660" s="22" t="n"/>
      <c r="L660" s="22" t="n"/>
      <c r="M660" s="22" t="n"/>
      <c r="N660" s="22" t="n"/>
      <c r="O660" s="22" t="n"/>
      <c r="P660" s="22" t="n"/>
      <c r="Q660" s="22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  <c r="AA660" s="22" t="n"/>
    </row>
    <row r="661" ht="11.25" customHeight="1">
      <c r="A661" s="22" t="n"/>
      <c r="B661" s="22" t="n"/>
      <c r="C661" s="22" t="n"/>
      <c r="D661" s="26" t="n"/>
      <c r="E661" s="27" t="n"/>
      <c r="F661" s="27" t="n"/>
      <c r="G661" s="22" t="n"/>
      <c r="H661" s="22" t="n"/>
      <c r="I661" s="22" t="n"/>
      <c r="J661" s="22" t="n"/>
      <c r="K661" s="22" t="n"/>
      <c r="L661" s="22" t="n"/>
      <c r="M661" s="22" t="n"/>
      <c r="N661" s="22" t="n"/>
      <c r="O661" s="22" t="n"/>
      <c r="P661" s="22" t="n"/>
      <c r="Q661" s="22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  <c r="AA661" s="22" t="n"/>
    </row>
    <row r="662" ht="11.25" customHeight="1">
      <c r="A662" s="22" t="n"/>
      <c r="B662" s="22" t="n"/>
      <c r="C662" s="22" t="n"/>
      <c r="D662" s="26" t="n"/>
      <c r="E662" s="27" t="n"/>
      <c r="F662" s="27" t="n"/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  <c r="AA662" s="22" t="n"/>
    </row>
    <row r="663" ht="11.25" customHeight="1">
      <c r="A663" s="22" t="n"/>
      <c r="B663" s="22" t="n"/>
      <c r="C663" s="22" t="n"/>
      <c r="D663" s="26" t="n"/>
      <c r="E663" s="27" t="n"/>
      <c r="F663" s="27" t="n"/>
      <c r="G663" s="22" t="n"/>
      <c r="H663" s="22" t="n"/>
      <c r="I663" s="22" t="n"/>
      <c r="J663" s="22" t="n"/>
      <c r="K663" s="22" t="n"/>
      <c r="L663" s="22" t="n"/>
      <c r="M663" s="22" t="n"/>
      <c r="N663" s="22" t="n"/>
      <c r="O663" s="22" t="n"/>
      <c r="P663" s="22" t="n"/>
      <c r="Q663" s="22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  <c r="AA663" s="22" t="n"/>
    </row>
    <row r="664" ht="11.25" customHeight="1">
      <c r="A664" s="22" t="n"/>
      <c r="B664" s="22" t="n"/>
      <c r="C664" s="22" t="n"/>
      <c r="D664" s="26" t="n"/>
      <c r="E664" s="27" t="n"/>
      <c r="F664" s="27" t="n"/>
      <c r="G664" s="22" t="n"/>
      <c r="H664" s="22" t="n"/>
      <c r="I664" s="22" t="n"/>
      <c r="J664" s="22" t="n"/>
      <c r="K664" s="22" t="n"/>
      <c r="L664" s="22" t="n"/>
      <c r="M664" s="22" t="n"/>
      <c r="N664" s="22" t="n"/>
      <c r="O664" s="22" t="n"/>
      <c r="P664" s="22" t="n"/>
      <c r="Q664" s="22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  <c r="AA664" s="22" t="n"/>
    </row>
    <row r="665" ht="11.25" customHeight="1">
      <c r="A665" s="22" t="n"/>
      <c r="B665" s="22" t="n"/>
      <c r="C665" s="22" t="n"/>
      <c r="D665" s="26" t="n"/>
      <c r="E665" s="27" t="n"/>
      <c r="F665" s="27" t="n"/>
      <c r="G665" s="22" t="n"/>
      <c r="H665" s="22" t="n"/>
      <c r="I665" s="22" t="n"/>
      <c r="J665" s="22" t="n"/>
      <c r="K665" s="22" t="n"/>
      <c r="L665" s="22" t="n"/>
      <c r="M665" s="22" t="n"/>
      <c r="N665" s="22" t="n"/>
      <c r="O665" s="22" t="n"/>
      <c r="P665" s="22" t="n"/>
      <c r="Q665" s="22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  <c r="AA665" s="22" t="n"/>
    </row>
    <row r="666" ht="11.25" customHeight="1">
      <c r="A666" s="22" t="n"/>
      <c r="B666" s="22" t="n"/>
      <c r="C666" s="22" t="n"/>
      <c r="D666" s="26" t="n"/>
      <c r="E666" s="27" t="n"/>
      <c r="F666" s="27" t="n"/>
      <c r="G666" s="22" t="n"/>
      <c r="H666" s="22" t="n"/>
      <c r="I666" s="22" t="n"/>
      <c r="J666" s="22" t="n"/>
      <c r="K666" s="22" t="n"/>
      <c r="L666" s="22" t="n"/>
      <c r="M666" s="22" t="n"/>
      <c r="N666" s="22" t="n"/>
      <c r="O666" s="22" t="n"/>
      <c r="P666" s="22" t="n"/>
      <c r="Q666" s="22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  <c r="AA666" s="22" t="n"/>
    </row>
    <row r="667" ht="11.25" customHeight="1">
      <c r="A667" s="22" t="n"/>
      <c r="B667" s="22" t="n"/>
      <c r="C667" s="22" t="n"/>
      <c r="D667" s="26" t="n"/>
      <c r="E667" s="27" t="n"/>
      <c r="F667" s="27" t="n"/>
      <c r="G667" s="22" t="n"/>
      <c r="H667" s="22" t="n"/>
      <c r="I667" s="22" t="n"/>
      <c r="J667" s="22" t="n"/>
      <c r="K667" s="22" t="n"/>
      <c r="L667" s="22" t="n"/>
      <c r="M667" s="22" t="n"/>
      <c r="N667" s="22" t="n"/>
      <c r="O667" s="22" t="n"/>
      <c r="P667" s="22" t="n"/>
      <c r="Q667" s="22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  <c r="AA667" s="22" t="n"/>
    </row>
    <row r="668" ht="11.25" customHeight="1">
      <c r="A668" s="22" t="n"/>
      <c r="B668" s="22" t="n"/>
      <c r="C668" s="22" t="n"/>
      <c r="D668" s="26" t="n"/>
      <c r="E668" s="27" t="n"/>
      <c r="F668" s="27" t="n"/>
      <c r="G668" s="22" t="n"/>
      <c r="H668" s="22" t="n"/>
      <c r="I668" s="22" t="n"/>
      <c r="J668" s="22" t="n"/>
      <c r="K668" s="22" t="n"/>
      <c r="L668" s="22" t="n"/>
      <c r="M668" s="22" t="n"/>
      <c r="N668" s="22" t="n"/>
      <c r="O668" s="22" t="n"/>
      <c r="P668" s="22" t="n"/>
      <c r="Q668" s="22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  <c r="AA668" s="22" t="n"/>
    </row>
    <row r="669" ht="11.25" customHeight="1">
      <c r="A669" s="22" t="n"/>
      <c r="B669" s="22" t="n"/>
      <c r="C669" s="22" t="n"/>
      <c r="D669" s="26" t="n"/>
      <c r="E669" s="27" t="n"/>
      <c r="F669" s="27" t="n"/>
      <c r="G669" s="22" t="n"/>
      <c r="H669" s="22" t="n"/>
      <c r="I669" s="22" t="n"/>
      <c r="J669" s="22" t="n"/>
      <c r="K669" s="22" t="n"/>
      <c r="L669" s="22" t="n"/>
      <c r="M669" s="22" t="n"/>
      <c r="N669" s="22" t="n"/>
      <c r="O669" s="22" t="n"/>
      <c r="P669" s="22" t="n"/>
      <c r="Q669" s="22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  <c r="AA669" s="22" t="n"/>
    </row>
    <row r="670" ht="11.25" customHeight="1">
      <c r="A670" s="22" t="n"/>
      <c r="B670" s="22" t="n"/>
      <c r="C670" s="22" t="n"/>
      <c r="D670" s="26" t="n"/>
      <c r="E670" s="27" t="n"/>
      <c r="F670" s="27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  <c r="AA670" s="22" t="n"/>
    </row>
    <row r="671" ht="11.25" customHeight="1">
      <c r="A671" s="22" t="n"/>
      <c r="B671" s="22" t="n"/>
      <c r="C671" s="22" t="n"/>
      <c r="D671" s="26" t="n"/>
      <c r="E671" s="27" t="n"/>
      <c r="F671" s="27" t="n"/>
      <c r="G671" s="22" t="n"/>
      <c r="H671" s="22" t="n"/>
      <c r="I671" s="22" t="n"/>
      <c r="J671" s="22" t="n"/>
      <c r="K671" s="22" t="n"/>
      <c r="L671" s="22" t="n"/>
      <c r="M671" s="22" t="n"/>
      <c r="N671" s="22" t="n"/>
      <c r="O671" s="22" t="n"/>
      <c r="P671" s="22" t="n"/>
      <c r="Q671" s="22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  <c r="AA671" s="22" t="n"/>
    </row>
    <row r="672" ht="11.25" customHeight="1">
      <c r="A672" s="22" t="n"/>
      <c r="B672" s="22" t="n"/>
      <c r="C672" s="22" t="n"/>
      <c r="D672" s="26" t="n"/>
      <c r="E672" s="27" t="n"/>
      <c r="F672" s="27" t="n"/>
      <c r="G672" s="22" t="n"/>
      <c r="H672" s="22" t="n"/>
      <c r="I672" s="22" t="n"/>
      <c r="J672" s="22" t="n"/>
      <c r="K672" s="22" t="n"/>
      <c r="L672" s="22" t="n"/>
      <c r="M672" s="22" t="n"/>
      <c r="N672" s="22" t="n"/>
      <c r="O672" s="22" t="n"/>
      <c r="P672" s="22" t="n"/>
      <c r="Q672" s="22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  <c r="AA672" s="22" t="n"/>
    </row>
    <row r="673" ht="11.25" customHeight="1">
      <c r="A673" s="22" t="n"/>
      <c r="B673" s="22" t="n"/>
      <c r="C673" s="22" t="n"/>
      <c r="D673" s="26" t="n"/>
      <c r="E673" s="27" t="n"/>
      <c r="F673" s="27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  <c r="AA673" s="22" t="n"/>
    </row>
    <row r="674" ht="11.25" customHeight="1">
      <c r="A674" s="22" t="n"/>
      <c r="B674" s="22" t="n"/>
      <c r="C674" s="22" t="n"/>
      <c r="D674" s="26" t="n"/>
      <c r="E674" s="27" t="n"/>
      <c r="F674" s="27" t="n"/>
      <c r="G674" s="22" t="n"/>
      <c r="H674" s="22" t="n"/>
      <c r="I674" s="22" t="n"/>
      <c r="J674" s="22" t="n"/>
      <c r="K674" s="22" t="n"/>
      <c r="L674" s="22" t="n"/>
      <c r="M674" s="22" t="n"/>
      <c r="N674" s="22" t="n"/>
      <c r="O674" s="22" t="n"/>
      <c r="P674" s="22" t="n"/>
      <c r="Q674" s="22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  <c r="AA674" s="22" t="n"/>
    </row>
    <row r="675" ht="11.25" customHeight="1">
      <c r="A675" s="22" t="n"/>
      <c r="B675" s="22" t="n"/>
      <c r="C675" s="22" t="n"/>
      <c r="D675" s="26" t="n"/>
      <c r="E675" s="27" t="n"/>
      <c r="F675" s="27" t="n"/>
      <c r="G675" s="22" t="n"/>
      <c r="H675" s="22" t="n"/>
      <c r="I675" s="22" t="n"/>
      <c r="J675" s="22" t="n"/>
      <c r="K675" s="22" t="n"/>
      <c r="L675" s="22" t="n"/>
      <c r="M675" s="22" t="n"/>
      <c r="N675" s="22" t="n"/>
      <c r="O675" s="22" t="n"/>
      <c r="P675" s="22" t="n"/>
      <c r="Q675" s="22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  <c r="AA675" s="22" t="n"/>
    </row>
    <row r="676" ht="11.25" customHeight="1">
      <c r="A676" s="22" t="n"/>
      <c r="B676" s="22" t="n"/>
      <c r="C676" s="22" t="n"/>
      <c r="D676" s="26" t="n"/>
      <c r="E676" s="27" t="n"/>
      <c r="F676" s="27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  <c r="AA676" s="22" t="n"/>
    </row>
    <row r="677" ht="11.25" customHeight="1">
      <c r="A677" s="22" t="n"/>
      <c r="B677" s="22" t="n"/>
      <c r="C677" s="22" t="n"/>
      <c r="D677" s="26" t="n"/>
      <c r="E677" s="27" t="n"/>
      <c r="F677" s="27" t="n"/>
      <c r="G677" s="22" t="n"/>
      <c r="H677" s="22" t="n"/>
      <c r="I677" s="22" t="n"/>
      <c r="J677" s="22" t="n"/>
      <c r="K677" s="22" t="n"/>
      <c r="L677" s="22" t="n"/>
      <c r="M677" s="22" t="n"/>
      <c r="N677" s="22" t="n"/>
      <c r="O677" s="22" t="n"/>
      <c r="P677" s="22" t="n"/>
      <c r="Q677" s="22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  <c r="AA677" s="22" t="n"/>
    </row>
    <row r="678" ht="11.25" customHeight="1">
      <c r="A678" s="22" t="n"/>
      <c r="B678" s="22" t="n"/>
      <c r="C678" s="22" t="n"/>
      <c r="D678" s="26" t="n"/>
      <c r="E678" s="27" t="n"/>
      <c r="F678" s="27" t="n"/>
      <c r="G678" s="22" t="n"/>
      <c r="H678" s="22" t="n"/>
      <c r="I678" s="22" t="n"/>
      <c r="J678" s="22" t="n"/>
      <c r="K678" s="22" t="n"/>
      <c r="L678" s="22" t="n"/>
      <c r="M678" s="22" t="n"/>
      <c r="N678" s="22" t="n"/>
      <c r="O678" s="22" t="n"/>
      <c r="P678" s="22" t="n"/>
      <c r="Q678" s="22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  <c r="AA678" s="22" t="n"/>
    </row>
    <row r="679" ht="11.25" customHeight="1">
      <c r="A679" s="22" t="n"/>
      <c r="B679" s="22" t="n"/>
      <c r="C679" s="22" t="n"/>
      <c r="D679" s="26" t="n"/>
      <c r="E679" s="27" t="n"/>
      <c r="F679" s="27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  <c r="AA679" s="22" t="n"/>
    </row>
    <row r="680" ht="11.25" customHeight="1">
      <c r="A680" s="22" t="n"/>
      <c r="B680" s="22" t="n"/>
      <c r="C680" s="22" t="n"/>
      <c r="D680" s="26" t="n"/>
      <c r="E680" s="27" t="n"/>
      <c r="F680" s="27" t="n"/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  <c r="AA680" s="22" t="n"/>
    </row>
    <row r="681" ht="11.25" customHeight="1">
      <c r="A681" s="22" t="n"/>
      <c r="B681" s="22" t="n"/>
      <c r="C681" s="22" t="n"/>
      <c r="D681" s="26" t="n"/>
      <c r="E681" s="27" t="n"/>
      <c r="F681" s="27" t="n"/>
      <c r="G681" s="22" t="n"/>
      <c r="H681" s="22" t="n"/>
      <c r="I681" s="22" t="n"/>
      <c r="J681" s="22" t="n"/>
      <c r="K681" s="22" t="n"/>
      <c r="L681" s="22" t="n"/>
      <c r="M681" s="22" t="n"/>
      <c r="N681" s="22" t="n"/>
      <c r="O681" s="22" t="n"/>
      <c r="P681" s="22" t="n"/>
      <c r="Q681" s="22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  <c r="AA681" s="22" t="n"/>
    </row>
    <row r="682" ht="11.25" customHeight="1">
      <c r="A682" s="22" t="n"/>
      <c r="B682" s="22" t="n"/>
      <c r="C682" s="22" t="n"/>
      <c r="D682" s="26" t="n"/>
      <c r="E682" s="27" t="n"/>
      <c r="F682" s="27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  <c r="AA682" s="22" t="n"/>
    </row>
    <row r="683" ht="11.25" customHeight="1">
      <c r="A683" s="22" t="n"/>
      <c r="B683" s="22" t="n"/>
      <c r="C683" s="22" t="n"/>
      <c r="D683" s="26" t="n"/>
      <c r="E683" s="27" t="n"/>
      <c r="F683" s="27" t="n"/>
      <c r="G683" s="22" t="n"/>
      <c r="H683" s="22" t="n"/>
      <c r="I683" s="22" t="n"/>
      <c r="J683" s="22" t="n"/>
      <c r="K683" s="22" t="n"/>
      <c r="L683" s="22" t="n"/>
      <c r="M683" s="22" t="n"/>
      <c r="N683" s="22" t="n"/>
      <c r="O683" s="22" t="n"/>
      <c r="P683" s="22" t="n"/>
      <c r="Q683" s="22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  <c r="AA683" s="22" t="n"/>
    </row>
    <row r="684" ht="11.25" customHeight="1">
      <c r="A684" s="22" t="n"/>
      <c r="B684" s="22" t="n"/>
      <c r="C684" s="22" t="n"/>
      <c r="D684" s="26" t="n"/>
      <c r="E684" s="27" t="n"/>
      <c r="F684" s="27" t="n"/>
      <c r="G684" s="22" t="n"/>
      <c r="H684" s="22" t="n"/>
      <c r="I684" s="22" t="n"/>
      <c r="J684" s="22" t="n"/>
      <c r="K684" s="22" t="n"/>
      <c r="L684" s="22" t="n"/>
      <c r="M684" s="22" t="n"/>
      <c r="N684" s="22" t="n"/>
      <c r="O684" s="22" t="n"/>
      <c r="P684" s="22" t="n"/>
      <c r="Q684" s="22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  <c r="AA684" s="22" t="n"/>
    </row>
    <row r="685" ht="11.25" customHeight="1">
      <c r="A685" s="22" t="n"/>
      <c r="B685" s="22" t="n"/>
      <c r="C685" s="22" t="n"/>
      <c r="D685" s="26" t="n"/>
      <c r="E685" s="27" t="n"/>
      <c r="F685" s="27" t="n"/>
      <c r="G685" s="22" t="n"/>
      <c r="H685" s="22" t="n"/>
      <c r="I685" s="22" t="n"/>
      <c r="J685" s="22" t="n"/>
      <c r="K685" s="22" t="n"/>
      <c r="L685" s="22" t="n"/>
      <c r="M685" s="22" t="n"/>
      <c r="N685" s="22" t="n"/>
      <c r="O685" s="22" t="n"/>
      <c r="P685" s="22" t="n"/>
      <c r="Q685" s="22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  <c r="AA685" s="22" t="n"/>
    </row>
    <row r="686" ht="11.25" customHeight="1">
      <c r="A686" s="22" t="n"/>
      <c r="B686" s="22" t="n"/>
      <c r="C686" s="22" t="n"/>
      <c r="D686" s="26" t="n"/>
      <c r="E686" s="27" t="n"/>
      <c r="F686" s="27" t="n"/>
      <c r="G686" s="22" t="n"/>
      <c r="H686" s="22" t="n"/>
      <c r="I686" s="22" t="n"/>
      <c r="J686" s="22" t="n"/>
      <c r="K686" s="22" t="n"/>
      <c r="L686" s="22" t="n"/>
      <c r="M686" s="22" t="n"/>
      <c r="N686" s="22" t="n"/>
      <c r="O686" s="22" t="n"/>
      <c r="P686" s="22" t="n"/>
      <c r="Q686" s="22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  <c r="AA686" s="22" t="n"/>
    </row>
    <row r="687" ht="11.25" customHeight="1">
      <c r="A687" s="22" t="n"/>
      <c r="B687" s="22" t="n"/>
      <c r="C687" s="22" t="n"/>
      <c r="D687" s="26" t="n"/>
      <c r="E687" s="27" t="n"/>
      <c r="F687" s="27" t="n"/>
      <c r="G687" s="22" t="n"/>
      <c r="H687" s="22" t="n"/>
      <c r="I687" s="22" t="n"/>
      <c r="J687" s="22" t="n"/>
      <c r="K687" s="22" t="n"/>
      <c r="L687" s="22" t="n"/>
      <c r="M687" s="22" t="n"/>
      <c r="N687" s="22" t="n"/>
      <c r="O687" s="22" t="n"/>
      <c r="P687" s="22" t="n"/>
      <c r="Q687" s="22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  <c r="AA687" s="22" t="n"/>
    </row>
    <row r="688" ht="11.25" customHeight="1">
      <c r="A688" s="22" t="n"/>
      <c r="B688" s="22" t="n"/>
      <c r="C688" s="22" t="n"/>
      <c r="D688" s="26" t="n"/>
      <c r="E688" s="27" t="n"/>
      <c r="F688" s="27" t="n"/>
      <c r="G688" s="22" t="n"/>
      <c r="H688" s="22" t="n"/>
      <c r="I688" s="22" t="n"/>
      <c r="J688" s="22" t="n"/>
      <c r="K688" s="22" t="n"/>
      <c r="L688" s="22" t="n"/>
      <c r="M688" s="22" t="n"/>
      <c r="N688" s="22" t="n"/>
      <c r="O688" s="22" t="n"/>
      <c r="P688" s="22" t="n"/>
      <c r="Q688" s="22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  <c r="AA688" s="22" t="n"/>
    </row>
    <row r="689" ht="11.25" customHeight="1">
      <c r="A689" s="22" t="n"/>
      <c r="B689" s="22" t="n"/>
      <c r="C689" s="22" t="n"/>
      <c r="D689" s="26" t="n"/>
      <c r="E689" s="27" t="n"/>
      <c r="F689" s="27" t="n"/>
      <c r="G689" s="22" t="n"/>
      <c r="H689" s="22" t="n"/>
      <c r="I689" s="22" t="n"/>
      <c r="J689" s="22" t="n"/>
      <c r="K689" s="22" t="n"/>
      <c r="L689" s="22" t="n"/>
      <c r="M689" s="22" t="n"/>
      <c r="N689" s="22" t="n"/>
      <c r="O689" s="22" t="n"/>
      <c r="P689" s="22" t="n"/>
      <c r="Q689" s="22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  <c r="AA689" s="22" t="n"/>
    </row>
    <row r="690" ht="11.25" customHeight="1">
      <c r="A690" s="22" t="n"/>
      <c r="B690" s="22" t="n"/>
      <c r="C690" s="22" t="n"/>
      <c r="D690" s="26" t="n"/>
      <c r="E690" s="27" t="n"/>
      <c r="F690" s="27" t="n"/>
      <c r="G690" s="22" t="n"/>
      <c r="H690" s="22" t="n"/>
      <c r="I690" s="22" t="n"/>
      <c r="J690" s="22" t="n"/>
      <c r="K690" s="22" t="n"/>
      <c r="L690" s="22" t="n"/>
      <c r="M690" s="22" t="n"/>
      <c r="N690" s="22" t="n"/>
      <c r="O690" s="22" t="n"/>
      <c r="P690" s="22" t="n"/>
      <c r="Q690" s="22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  <c r="AA690" s="22" t="n"/>
    </row>
    <row r="691" ht="11.25" customHeight="1">
      <c r="A691" s="22" t="n"/>
      <c r="B691" s="22" t="n"/>
      <c r="C691" s="22" t="n"/>
      <c r="D691" s="26" t="n"/>
      <c r="E691" s="27" t="n"/>
      <c r="F691" s="27" t="n"/>
      <c r="G691" s="22" t="n"/>
      <c r="H691" s="22" t="n"/>
      <c r="I691" s="22" t="n"/>
      <c r="J691" s="22" t="n"/>
      <c r="K691" s="22" t="n"/>
      <c r="L691" s="22" t="n"/>
      <c r="M691" s="22" t="n"/>
      <c r="N691" s="22" t="n"/>
      <c r="O691" s="22" t="n"/>
      <c r="P691" s="22" t="n"/>
      <c r="Q691" s="22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  <c r="AA691" s="22" t="n"/>
    </row>
    <row r="692" ht="11.25" customHeight="1">
      <c r="A692" s="22" t="n"/>
      <c r="B692" s="22" t="n"/>
      <c r="C692" s="22" t="n"/>
      <c r="D692" s="26" t="n"/>
      <c r="E692" s="27" t="n"/>
      <c r="F692" s="27" t="n"/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  <c r="AA692" s="22" t="n"/>
    </row>
    <row r="693" ht="11.25" customHeight="1">
      <c r="A693" s="22" t="n"/>
      <c r="B693" s="22" t="n"/>
      <c r="C693" s="22" t="n"/>
      <c r="D693" s="26" t="n"/>
      <c r="E693" s="27" t="n"/>
      <c r="F693" s="27" t="n"/>
      <c r="G693" s="22" t="n"/>
      <c r="H693" s="22" t="n"/>
      <c r="I693" s="22" t="n"/>
      <c r="J693" s="22" t="n"/>
      <c r="K693" s="22" t="n"/>
      <c r="L693" s="22" t="n"/>
      <c r="M693" s="22" t="n"/>
      <c r="N693" s="22" t="n"/>
      <c r="O693" s="22" t="n"/>
      <c r="P693" s="22" t="n"/>
      <c r="Q693" s="22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  <c r="AA693" s="22" t="n"/>
    </row>
    <row r="694" ht="11.25" customHeight="1">
      <c r="A694" s="22" t="n"/>
      <c r="B694" s="22" t="n"/>
      <c r="C694" s="22" t="n"/>
      <c r="D694" s="26" t="n"/>
      <c r="E694" s="27" t="n"/>
      <c r="F694" s="27" t="n"/>
      <c r="G694" s="22" t="n"/>
      <c r="H694" s="22" t="n"/>
      <c r="I694" s="22" t="n"/>
      <c r="J694" s="22" t="n"/>
      <c r="K694" s="22" t="n"/>
      <c r="L694" s="22" t="n"/>
      <c r="M694" s="22" t="n"/>
      <c r="N694" s="22" t="n"/>
      <c r="O694" s="22" t="n"/>
      <c r="P694" s="22" t="n"/>
      <c r="Q694" s="22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  <c r="AA694" s="22" t="n"/>
    </row>
    <row r="695" ht="11.25" customHeight="1">
      <c r="A695" s="22" t="n"/>
      <c r="B695" s="22" t="n"/>
      <c r="C695" s="22" t="n"/>
      <c r="D695" s="26" t="n"/>
      <c r="E695" s="27" t="n"/>
      <c r="F695" s="27" t="n"/>
      <c r="G695" s="22" t="n"/>
      <c r="H695" s="22" t="n"/>
      <c r="I695" s="22" t="n"/>
      <c r="J695" s="22" t="n"/>
      <c r="K695" s="22" t="n"/>
      <c r="L695" s="22" t="n"/>
      <c r="M695" s="22" t="n"/>
      <c r="N695" s="22" t="n"/>
      <c r="O695" s="22" t="n"/>
      <c r="P695" s="22" t="n"/>
      <c r="Q695" s="22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  <c r="AA695" s="22" t="n"/>
    </row>
    <row r="696" ht="11.25" customHeight="1">
      <c r="A696" s="22" t="n"/>
      <c r="B696" s="22" t="n"/>
      <c r="C696" s="22" t="n"/>
      <c r="D696" s="26" t="n"/>
      <c r="E696" s="27" t="n"/>
      <c r="F696" s="27" t="n"/>
      <c r="G696" s="22" t="n"/>
      <c r="H696" s="22" t="n"/>
      <c r="I696" s="22" t="n"/>
      <c r="J696" s="22" t="n"/>
      <c r="K696" s="22" t="n"/>
      <c r="L696" s="22" t="n"/>
      <c r="M696" s="22" t="n"/>
      <c r="N696" s="22" t="n"/>
      <c r="O696" s="22" t="n"/>
      <c r="P696" s="22" t="n"/>
      <c r="Q696" s="22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  <c r="AA696" s="22" t="n"/>
    </row>
    <row r="697" ht="11.25" customHeight="1">
      <c r="A697" s="22" t="n"/>
      <c r="B697" s="22" t="n"/>
      <c r="C697" s="22" t="n"/>
      <c r="D697" s="26" t="n"/>
      <c r="E697" s="27" t="n"/>
      <c r="F697" s="27" t="n"/>
      <c r="G697" s="22" t="n"/>
      <c r="H697" s="22" t="n"/>
      <c r="I697" s="22" t="n"/>
      <c r="J697" s="22" t="n"/>
      <c r="K697" s="22" t="n"/>
      <c r="L697" s="22" t="n"/>
      <c r="M697" s="22" t="n"/>
      <c r="N697" s="22" t="n"/>
      <c r="O697" s="22" t="n"/>
      <c r="P697" s="22" t="n"/>
      <c r="Q697" s="22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  <c r="AA697" s="22" t="n"/>
    </row>
    <row r="698" ht="11.25" customHeight="1">
      <c r="A698" s="22" t="n"/>
      <c r="B698" s="22" t="n"/>
      <c r="C698" s="22" t="n"/>
      <c r="D698" s="26" t="n"/>
      <c r="E698" s="27" t="n"/>
      <c r="F698" s="27" t="n"/>
      <c r="G698" s="22" t="n"/>
      <c r="H698" s="22" t="n"/>
      <c r="I698" s="22" t="n"/>
      <c r="J698" s="22" t="n"/>
      <c r="K698" s="22" t="n"/>
      <c r="L698" s="22" t="n"/>
      <c r="M698" s="22" t="n"/>
      <c r="N698" s="22" t="n"/>
      <c r="O698" s="22" t="n"/>
      <c r="P698" s="22" t="n"/>
      <c r="Q698" s="22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  <c r="AA698" s="22" t="n"/>
    </row>
    <row r="699" ht="11.25" customHeight="1">
      <c r="A699" s="22" t="n"/>
      <c r="B699" s="22" t="n"/>
      <c r="C699" s="22" t="n"/>
      <c r="D699" s="26" t="n"/>
      <c r="E699" s="27" t="n"/>
      <c r="F699" s="27" t="n"/>
      <c r="G699" s="22" t="n"/>
      <c r="H699" s="22" t="n"/>
      <c r="I699" s="22" t="n"/>
      <c r="J699" s="22" t="n"/>
      <c r="K699" s="22" t="n"/>
      <c r="L699" s="22" t="n"/>
      <c r="M699" s="22" t="n"/>
      <c r="N699" s="22" t="n"/>
      <c r="O699" s="22" t="n"/>
      <c r="P699" s="22" t="n"/>
      <c r="Q699" s="22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  <c r="AA699" s="22" t="n"/>
    </row>
    <row r="700" ht="11.25" customHeight="1">
      <c r="A700" s="22" t="n"/>
      <c r="B700" s="22" t="n"/>
      <c r="C700" s="22" t="n"/>
      <c r="D700" s="26" t="n"/>
      <c r="E700" s="27" t="n"/>
      <c r="F700" s="27" t="n"/>
      <c r="G700" s="22" t="n"/>
      <c r="H700" s="22" t="n"/>
      <c r="I700" s="22" t="n"/>
      <c r="J700" s="22" t="n"/>
      <c r="K700" s="22" t="n"/>
      <c r="L700" s="22" t="n"/>
      <c r="M700" s="22" t="n"/>
      <c r="N700" s="22" t="n"/>
      <c r="O700" s="22" t="n"/>
      <c r="P700" s="22" t="n"/>
      <c r="Q700" s="22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  <c r="AA700" s="22" t="n"/>
    </row>
    <row r="701" ht="11.25" customHeight="1">
      <c r="A701" s="22" t="n"/>
      <c r="B701" s="22" t="n"/>
      <c r="C701" s="22" t="n"/>
      <c r="D701" s="26" t="n"/>
      <c r="E701" s="27" t="n"/>
      <c r="F701" s="27" t="n"/>
      <c r="G701" s="22" t="n"/>
      <c r="H701" s="22" t="n"/>
      <c r="I701" s="22" t="n"/>
      <c r="J701" s="22" t="n"/>
      <c r="K701" s="22" t="n"/>
      <c r="L701" s="22" t="n"/>
      <c r="M701" s="22" t="n"/>
      <c r="N701" s="22" t="n"/>
      <c r="O701" s="22" t="n"/>
      <c r="P701" s="22" t="n"/>
      <c r="Q701" s="22" t="n"/>
      <c r="R701" s="22" t="n"/>
      <c r="S701" s="22" t="n"/>
      <c r="T701" s="22" t="n"/>
      <c r="U701" s="22" t="n"/>
      <c r="V701" s="22" t="n"/>
      <c r="W701" s="22" t="n"/>
      <c r="X701" s="22" t="n"/>
      <c r="Y701" s="22" t="n"/>
      <c r="Z701" s="22" t="n"/>
      <c r="AA701" s="22" t="n"/>
    </row>
    <row r="702" ht="11.25" customHeight="1">
      <c r="A702" s="22" t="n"/>
      <c r="B702" s="22" t="n"/>
      <c r="C702" s="22" t="n"/>
      <c r="D702" s="26" t="n"/>
      <c r="E702" s="27" t="n"/>
      <c r="F702" s="27" t="n"/>
      <c r="G702" s="22" t="n"/>
      <c r="H702" s="22" t="n"/>
      <c r="I702" s="22" t="n"/>
      <c r="J702" s="22" t="n"/>
      <c r="K702" s="22" t="n"/>
      <c r="L702" s="22" t="n"/>
      <c r="M702" s="22" t="n"/>
      <c r="N702" s="22" t="n"/>
      <c r="O702" s="22" t="n"/>
      <c r="P702" s="22" t="n"/>
      <c r="Q702" s="22" t="n"/>
      <c r="R702" s="22" t="n"/>
      <c r="S702" s="22" t="n"/>
      <c r="T702" s="22" t="n"/>
      <c r="U702" s="22" t="n"/>
      <c r="V702" s="22" t="n"/>
      <c r="W702" s="22" t="n"/>
      <c r="X702" s="22" t="n"/>
      <c r="Y702" s="22" t="n"/>
      <c r="Z702" s="22" t="n"/>
      <c r="AA702" s="22" t="n"/>
    </row>
    <row r="703" ht="11.25" customHeight="1">
      <c r="A703" s="22" t="n"/>
      <c r="B703" s="22" t="n"/>
      <c r="C703" s="22" t="n"/>
      <c r="D703" s="26" t="n"/>
      <c r="E703" s="27" t="n"/>
      <c r="F703" s="27" t="n"/>
      <c r="G703" s="22" t="n"/>
      <c r="H703" s="22" t="n"/>
      <c r="I703" s="22" t="n"/>
      <c r="J703" s="22" t="n"/>
      <c r="K703" s="22" t="n"/>
      <c r="L703" s="22" t="n"/>
      <c r="M703" s="22" t="n"/>
      <c r="N703" s="22" t="n"/>
      <c r="O703" s="22" t="n"/>
      <c r="P703" s="22" t="n"/>
      <c r="Q703" s="22" t="n"/>
      <c r="R703" s="22" t="n"/>
      <c r="S703" s="22" t="n"/>
      <c r="T703" s="22" t="n"/>
      <c r="U703" s="22" t="n"/>
      <c r="V703" s="22" t="n"/>
      <c r="W703" s="22" t="n"/>
      <c r="X703" s="22" t="n"/>
      <c r="Y703" s="22" t="n"/>
      <c r="Z703" s="22" t="n"/>
      <c r="AA703" s="22" t="n"/>
    </row>
    <row r="704" ht="11.25" customHeight="1">
      <c r="A704" s="22" t="n"/>
      <c r="B704" s="22" t="n"/>
      <c r="C704" s="22" t="n"/>
      <c r="D704" s="26" t="n"/>
      <c r="E704" s="27" t="n"/>
      <c r="F704" s="27" t="n"/>
      <c r="G704" s="22" t="n"/>
      <c r="H704" s="22" t="n"/>
      <c r="I704" s="22" t="n"/>
      <c r="J704" s="22" t="n"/>
      <c r="K704" s="22" t="n"/>
      <c r="L704" s="22" t="n"/>
      <c r="M704" s="22" t="n"/>
      <c r="N704" s="22" t="n"/>
      <c r="O704" s="22" t="n"/>
      <c r="P704" s="22" t="n"/>
      <c r="Q704" s="22" t="n"/>
      <c r="R704" s="22" t="n"/>
      <c r="S704" s="22" t="n"/>
      <c r="T704" s="22" t="n"/>
      <c r="U704" s="22" t="n"/>
      <c r="V704" s="22" t="n"/>
      <c r="W704" s="22" t="n"/>
      <c r="X704" s="22" t="n"/>
      <c r="Y704" s="22" t="n"/>
      <c r="Z704" s="22" t="n"/>
      <c r="AA704" s="22" t="n"/>
    </row>
    <row r="705" ht="11.25" customHeight="1">
      <c r="A705" s="22" t="n"/>
      <c r="B705" s="22" t="n"/>
      <c r="C705" s="22" t="n"/>
      <c r="D705" s="26" t="n"/>
      <c r="E705" s="27" t="n"/>
      <c r="F705" s="27" t="n"/>
      <c r="G705" s="22" t="n"/>
      <c r="H705" s="22" t="n"/>
      <c r="I705" s="22" t="n"/>
      <c r="J705" s="22" t="n"/>
      <c r="K705" s="22" t="n"/>
      <c r="L705" s="22" t="n"/>
      <c r="M705" s="22" t="n"/>
      <c r="N705" s="22" t="n"/>
      <c r="O705" s="22" t="n"/>
      <c r="P705" s="22" t="n"/>
      <c r="Q705" s="22" t="n"/>
      <c r="R705" s="22" t="n"/>
      <c r="S705" s="22" t="n"/>
      <c r="T705" s="22" t="n"/>
      <c r="U705" s="22" t="n"/>
      <c r="V705" s="22" t="n"/>
      <c r="W705" s="22" t="n"/>
      <c r="X705" s="22" t="n"/>
      <c r="Y705" s="22" t="n"/>
      <c r="Z705" s="22" t="n"/>
      <c r="AA705" s="22" t="n"/>
    </row>
    <row r="706" ht="11.25" customHeight="1">
      <c r="A706" s="22" t="n"/>
      <c r="B706" s="22" t="n"/>
      <c r="C706" s="22" t="n"/>
      <c r="D706" s="26" t="n"/>
      <c r="E706" s="27" t="n"/>
      <c r="F706" s="27" t="n"/>
      <c r="G706" s="22" t="n"/>
      <c r="H706" s="22" t="n"/>
      <c r="I706" s="22" t="n"/>
      <c r="J706" s="22" t="n"/>
      <c r="K706" s="22" t="n"/>
      <c r="L706" s="22" t="n"/>
      <c r="M706" s="22" t="n"/>
      <c r="N706" s="22" t="n"/>
      <c r="O706" s="22" t="n"/>
      <c r="P706" s="22" t="n"/>
      <c r="Q706" s="22" t="n"/>
      <c r="R706" s="22" t="n"/>
      <c r="S706" s="22" t="n"/>
      <c r="T706" s="22" t="n"/>
      <c r="U706" s="22" t="n"/>
      <c r="V706" s="22" t="n"/>
      <c r="W706" s="22" t="n"/>
      <c r="X706" s="22" t="n"/>
      <c r="Y706" s="22" t="n"/>
      <c r="Z706" s="22" t="n"/>
      <c r="AA706" s="22" t="n"/>
    </row>
    <row r="707" ht="11.25" customHeight="1">
      <c r="A707" s="22" t="n"/>
      <c r="B707" s="22" t="n"/>
      <c r="C707" s="22" t="n"/>
      <c r="D707" s="26" t="n"/>
      <c r="E707" s="27" t="n"/>
      <c r="F707" s="27" t="n"/>
      <c r="G707" s="22" t="n"/>
      <c r="H707" s="22" t="n"/>
      <c r="I707" s="22" t="n"/>
      <c r="J707" s="22" t="n"/>
      <c r="K707" s="22" t="n"/>
      <c r="L707" s="22" t="n"/>
      <c r="M707" s="22" t="n"/>
      <c r="N707" s="22" t="n"/>
      <c r="O707" s="22" t="n"/>
      <c r="P707" s="22" t="n"/>
      <c r="Q707" s="22" t="n"/>
      <c r="R707" s="22" t="n"/>
      <c r="S707" s="22" t="n"/>
      <c r="T707" s="22" t="n"/>
      <c r="U707" s="22" t="n"/>
      <c r="V707" s="22" t="n"/>
      <c r="W707" s="22" t="n"/>
      <c r="X707" s="22" t="n"/>
      <c r="Y707" s="22" t="n"/>
      <c r="Z707" s="22" t="n"/>
      <c r="AA707" s="22" t="n"/>
    </row>
    <row r="708" ht="11.25" customHeight="1">
      <c r="A708" s="22" t="n"/>
      <c r="B708" s="22" t="n"/>
      <c r="C708" s="22" t="n"/>
      <c r="D708" s="26" t="n"/>
      <c r="E708" s="27" t="n"/>
      <c r="F708" s="27" t="n"/>
      <c r="G708" s="22" t="n"/>
      <c r="H708" s="22" t="n"/>
      <c r="I708" s="22" t="n"/>
      <c r="J708" s="22" t="n"/>
      <c r="K708" s="22" t="n"/>
      <c r="L708" s="22" t="n"/>
      <c r="M708" s="22" t="n"/>
      <c r="N708" s="22" t="n"/>
      <c r="O708" s="22" t="n"/>
      <c r="P708" s="22" t="n"/>
      <c r="Q708" s="22" t="n"/>
      <c r="R708" s="22" t="n"/>
      <c r="S708" s="22" t="n"/>
      <c r="T708" s="22" t="n"/>
      <c r="U708" s="22" t="n"/>
      <c r="V708" s="22" t="n"/>
      <c r="W708" s="22" t="n"/>
      <c r="X708" s="22" t="n"/>
      <c r="Y708" s="22" t="n"/>
      <c r="Z708" s="22" t="n"/>
      <c r="AA708" s="22" t="n"/>
    </row>
    <row r="709" ht="11.25" customHeight="1">
      <c r="A709" s="22" t="n"/>
      <c r="B709" s="22" t="n"/>
      <c r="C709" s="22" t="n"/>
      <c r="D709" s="26" t="n"/>
      <c r="E709" s="27" t="n"/>
      <c r="F709" s="27" t="n"/>
      <c r="G709" s="22" t="n"/>
      <c r="H709" s="22" t="n"/>
      <c r="I709" s="22" t="n"/>
      <c r="J709" s="22" t="n"/>
      <c r="K709" s="22" t="n"/>
      <c r="L709" s="22" t="n"/>
      <c r="M709" s="22" t="n"/>
      <c r="N709" s="22" t="n"/>
      <c r="O709" s="22" t="n"/>
      <c r="P709" s="22" t="n"/>
      <c r="Q709" s="22" t="n"/>
      <c r="R709" s="22" t="n"/>
      <c r="S709" s="22" t="n"/>
      <c r="T709" s="22" t="n"/>
      <c r="U709" s="22" t="n"/>
      <c r="V709" s="22" t="n"/>
      <c r="W709" s="22" t="n"/>
      <c r="X709" s="22" t="n"/>
      <c r="Y709" s="22" t="n"/>
      <c r="Z709" s="22" t="n"/>
      <c r="AA709" s="22" t="n"/>
    </row>
    <row r="710" ht="11.25" customHeight="1">
      <c r="A710" s="22" t="n"/>
      <c r="B710" s="22" t="n"/>
      <c r="C710" s="22" t="n"/>
      <c r="D710" s="26" t="n"/>
      <c r="E710" s="27" t="n"/>
      <c r="F710" s="27" t="n"/>
      <c r="G710" s="22" t="n"/>
      <c r="H710" s="22" t="n"/>
      <c r="I710" s="22" t="n"/>
      <c r="J710" s="22" t="n"/>
      <c r="K710" s="22" t="n"/>
      <c r="L710" s="22" t="n"/>
      <c r="M710" s="22" t="n"/>
      <c r="N710" s="22" t="n"/>
      <c r="O710" s="22" t="n"/>
      <c r="P710" s="22" t="n"/>
      <c r="Q710" s="22" t="n"/>
      <c r="R710" s="22" t="n"/>
      <c r="S710" s="22" t="n"/>
      <c r="T710" s="22" t="n"/>
      <c r="U710" s="22" t="n"/>
      <c r="V710" s="22" t="n"/>
      <c r="W710" s="22" t="n"/>
      <c r="X710" s="22" t="n"/>
      <c r="Y710" s="22" t="n"/>
      <c r="Z710" s="22" t="n"/>
      <c r="AA710" s="22" t="n"/>
    </row>
    <row r="711" ht="11.25" customHeight="1">
      <c r="A711" s="22" t="n"/>
      <c r="B711" s="22" t="n"/>
      <c r="C711" s="22" t="n"/>
      <c r="D711" s="26" t="n"/>
      <c r="E711" s="27" t="n"/>
      <c r="F711" s="27" t="n"/>
      <c r="G711" s="22" t="n"/>
      <c r="H711" s="22" t="n"/>
      <c r="I711" s="22" t="n"/>
      <c r="J711" s="22" t="n"/>
      <c r="K711" s="22" t="n"/>
      <c r="L711" s="22" t="n"/>
      <c r="M711" s="22" t="n"/>
      <c r="N711" s="22" t="n"/>
      <c r="O711" s="22" t="n"/>
      <c r="P711" s="22" t="n"/>
      <c r="Q711" s="22" t="n"/>
      <c r="R711" s="22" t="n"/>
      <c r="S711" s="22" t="n"/>
      <c r="T711" s="22" t="n"/>
      <c r="U711" s="22" t="n"/>
      <c r="V711" s="22" t="n"/>
      <c r="W711" s="22" t="n"/>
      <c r="X711" s="22" t="n"/>
      <c r="Y711" s="22" t="n"/>
      <c r="Z711" s="22" t="n"/>
      <c r="AA711" s="22" t="n"/>
    </row>
    <row r="712" ht="11.25" customHeight="1">
      <c r="A712" s="22" t="n"/>
      <c r="B712" s="22" t="n"/>
      <c r="C712" s="22" t="n"/>
      <c r="D712" s="26" t="n"/>
      <c r="E712" s="27" t="n"/>
      <c r="F712" s="27" t="n"/>
      <c r="G712" s="22" t="n"/>
      <c r="H712" s="22" t="n"/>
      <c r="I712" s="22" t="n"/>
      <c r="J712" s="22" t="n"/>
      <c r="K712" s="22" t="n"/>
      <c r="L712" s="22" t="n"/>
      <c r="M712" s="22" t="n"/>
      <c r="N712" s="22" t="n"/>
      <c r="O712" s="22" t="n"/>
      <c r="P712" s="22" t="n"/>
      <c r="Q712" s="22" t="n"/>
      <c r="R712" s="22" t="n"/>
      <c r="S712" s="22" t="n"/>
      <c r="T712" s="22" t="n"/>
      <c r="U712" s="22" t="n"/>
      <c r="V712" s="22" t="n"/>
      <c r="W712" s="22" t="n"/>
      <c r="X712" s="22" t="n"/>
      <c r="Y712" s="22" t="n"/>
      <c r="Z712" s="22" t="n"/>
      <c r="AA712" s="22" t="n"/>
    </row>
    <row r="713" ht="11.25" customHeight="1">
      <c r="A713" s="22" t="n"/>
      <c r="B713" s="22" t="n"/>
      <c r="C713" s="22" t="n"/>
      <c r="D713" s="26" t="n"/>
      <c r="E713" s="27" t="n"/>
      <c r="F713" s="27" t="n"/>
      <c r="G713" s="22" t="n"/>
      <c r="H713" s="22" t="n"/>
      <c r="I713" s="22" t="n"/>
      <c r="J713" s="22" t="n"/>
      <c r="K713" s="22" t="n"/>
      <c r="L713" s="22" t="n"/>
      <c r="M713" s="22" t="n"/>
      <c r="N713" s="22" t="n"/>
      <c r="O713" s="22" t="n"/>
      <c r="P713" s="22" t="n"/>
      <c r="Q713" s="22" t="n"/>
      <c r="R713" s="22" t="n"/>
      <c r="S713" s="22" t="n"/>
      <c r="T713" s="22" t="n"/>
      <c r="U713" s="22" t="n"/>
      <c r="V713" s="22" t="n"/>
      <c r="W713" s="22" t="n"/>
      <c r="X713" s="22" t="n"/>
      <c r="Y713" s="22" t="n"/>
      <c r="Z713" s="22" t="n"/>
      <c r="AA713" s="22" t="n"/>
    </row>
    <row r="714" ht="11.25" customHeight="1">
      <c r="A714" s="22" t="n"/>
      <c r="B714" s="22" t="n"/>
      <c r="C714" s="22" t="n"/>
      <c r="D714" s="26" t="n"/>
      <c r="E714" s="27" t="n"/>
      <c r="F714" s="27" t="n"/>
      <c r="G714" s="22" t="n"/>
      <c r="H714" s="22" t="n"/>
      <c r="I714" s="22" t="n"/>
      <c r="J714" s="22" t="n"/>
      <c r="K714" s="22" t="n"/>
      <c r="L714" s="22" t="n"/>
      <c r="M714" s="22" t="n"/>
      <c r="N714" s="22" t="n"/>
      <c r="O714" s="22" t="n"/>
      <c r="P714" s="22" t="n"/>
      <c r="Q714" s="22" t="n"/>
      <c r="R714" s="22" t="n"/>
      <c r="S714" s="22" t="n"/>
      <c r="T714" s="22" t="n"/>
      <c r="U714" s="22" t="n"/>
      <c r="V714" s="22" t="n"/>
      <c r="W714" s="22" t="n"/>
      <c r="X714" s="22" t="n"/>
      <c r="Y714" s="22" t="n"/>
      <c r="Z714" s="22" t="n"/>
      <c r="AA714" s="22" t="n"/>
    </row>
    <row r="715" ht="11.25" customHeight="1">
      <c r="A715" s="22" t="n"/>
      <c r="B715" s="22" t="n"/>
      <c r="C715" s="22" t="n"/>
      <c r="D715" s="26" t="n"/>
      <c r="E715" s="27" t="n"/>
      <c r="F715" s="27" t="n"/>
      <c r="G715" s="22" t="n"/>
      <c r="H715" s="22" t="n"/>
      <c r="I715" s="22" t="n"/>
      <c r="J715" s="22" t="n"/>
      <c r="K715" s="22" t="n"/>
      <c r="L715" s="22" t="n"/>
      <c r="M715" s="22" t="n"/>
      <c r="N715" s="22" t="n"/>
      <c r="O715" s="22" t="n"/>
      <c r="P715" s="22" t="n"/>
      <c r="Q715" s="22" t="n"/>
      <c r="R715" s="22" t="n"/>
      <c r="S715" s="22" t="n"/>
      <c r="T715" s="22" t="n"/>
      <c r="U715" s="22" t="n"/>
      <c r="V715" s="22" t="n"/>
      <c r="W715" s="22" t="n"/>
      <c r="X715" s="22" t="n"/>
      <c r="Y715" s="22" t="n"/>
      <c r="Z715" s="22" t="n"/>
      <c r="AA715" s="22" t="n"/>
    </row>
    <row r="716" ht="11.25" customHeight="1">
      <c r="A716" s="22" t="n"/>
      <c r="B716" s="22" t="n"/>
      <c r="C716" s="22" t="n"/>
      <c r="D716" s="26" t="n"/>
      <c r="E716" s="27" t="n"/>
      <c r="F716" s="27" t="n"/>
      <c r="G716" s="22" t="n"/>
      <c r="H716" s="22" t="n"/>
      <c r="I716" s="22" t="n"/>
      <c r="J716" s="22" t="n"/>
      <c r="K716" s="22" t="n"/>
      <c r="L716" s="22" t="n"/>
      <c r="M716" s="22" t="n"/>
      <c r="N716" s="22" t="n"/>
      <c r="O716" s="22" t="n"/>
      <c r="P716" s="22" t="n"/>
      <c r="Q716" s="22" t="n"/>
      <c r="R716" s="22" t="n"/>
      <c r="S716" s="22" t="n"/>
      <c r="T716" s="22" t="n"/>
      <c r="U716" s="22" t="n"/>
      <c r="V716" s="22" t="n"/>
      <c r="W716" s="22" t="n"/>
      <c r="X716" s="22" t="n"/>
      <c r="Y716" s="22" t="n"/>
      <c r="Z716" s="22" t="n"/>
      <c r="AA716" s="22" t="n"/>
    </row>
    <row r="717" ht="11.25" customHeight="1">
      <c r="A717" s="22" t="n"/>
      <c r="B717" s="22" t="n"/>
      <c r="C717" s="22" t="n"/>
      <c r="D717" s="26" t="n"/>
      <c r="E717" s="27" t="n"/>
      <c r="F717" s="27" t="n"/>
      <c r="G717" s="22" t="n"/>
      <c r="H717" s="22" t="n"/>
      <c r="I717" s="22" t="n"/>
      <c r="J717" s="22" t="n"/>
      <c r="K717" s="22" t="n"/>
      <c r="L717" s="22" t="n"/>
      <c r="M717" s="22" t="n"/>
      <c r="N717" s="22" t="n"/>
      <c r="O717" s="22" t="n"/>
      <c r="P717" s="22" t="n"/>
      <c r="Q717" s="22" t="n"/>
      <c r="R717" s="22" t="n"/>
      <c r="S717" s="22" t="n"/>
      <c r="T717" s="22" t="n"/>
      <c r="U717" s="22" t="n"/>
      <c r="V717" s="22" t="n"/>
      <c r="W717" s="22" t="n"/>
      <c r="X717" s="22" t="n"/>
      <c r="Y717" s="22" t="n"/>
      <c r="Z717" s="22" t="n"/>
      <c r="AA717" s="22" t="n"/>
    </row>
    <row r="718" ht="11.25" customHeight="1">
      <c r="A718" s="22" t="n"/>
      <c r="B718" s="22" t="n"/>
      <c r="C718" s="22" t="n"/>
      <c r="D718" s="26" t="n"/>
      <c r="E718" s="27" t="n"/>
      <c r="F718" s="27" t="n"/>
      <c r="G718" s="22" t="n"/>
      <c r="H718" s="22" t="n"/>
      <c r="I718" s="22" t="n"/>
      <c r="J718" s="22" t="n"/>
      <c r="K718" s="22" t="n"/>
      <c r="L718" s="22" t="n"/>
      <c r="M718" s="22" t="n"/>
      <c r="N718" s="22" t="n"/>
      <c r="O718" s="22" t="n"/>
      <c r="P718" s="22" t="n"/>
      <c r="Q718" s="22" t="n"/>
      <c r="R718" s="22" t="n"/>
      <c r="S718" s="22" t="n"/>
      <c r="T718" s="22" t="n"/>
      <c r="U718" s="22" t="n"/>
      <c r="V718" s="22" t="n"/>
      <c r="W718" s="22" t="n"/>
      <c r="X718" s="22" t="n"/>
      <c r="Y718" s="22" t="n"/>
      <c r="Z718" s="22" t="n"/>
      <c r="AA718" s="22" t="n"/>
    </row>
    <row r="719" ht="11.25" customHeight="1">
      <c r="A719" s="22" t="n"/>
      <c r="B719" s="22" t="n"/>
      <c r="C719" s="22" t="n"/>
      <c r="D719" s="26" t="n"/>
      <c r="E719" s="27" t="n"/>
      <c r="F719" s="27" t="n"/>
      <c r="G719" s="22" t="n"/>
      <c r="H719" s="22" t="n"/>
      <c r="I719" s="22" t="n"/>
      <c r="J719" s="22" t="n"/>
      <c r="K719" s="22" t="n"/>
      <c r="L719" s="22" t="n"/>
      <c r="M719" s="22" t="n"/>
      <c r="N719" s="22" t="n"/>
      <c r="O719" s="22" t="n"/>
      <c r="P719" s="22" t="n"/>
      <c r="Q719" s="22" t="n"/>
      <c r="R719" s="22" t="n"/>
      <c r="S719" s="22" t="n"/>
      <c r="T719" s="22" t="n"/>
      <c r="U719" s="22" t="n"/>
      <c r="V719" s="22" t="n"/>
      <c r="W719" s="22" t="n"/>
      <c r="X719" s="22" t="n"/>
      <c r="Y719" s="22" t="n"/>
      <c r="Z719" s="22" t="n"/>
      <c r="AA719" s="22" t="n"/>
    </row>
    <row r="720" ht="11.25" customHeight="1">
      <c r="A720" s="22" t="n"/>
      <c r="B720" s="22" t="n"/>
      <c r="C720" s="22" t="n"/>
      <c r="D720" s="26" t="n"/>
      <c r="E720" s="27" t="n"/>
      <c r="F720" s="27" t="n"/>
      <c r="G720" s="22" t="n"/>
      <c r="H720" s="22" t="n"/>
      <c r="I720" s="22" t="n"/>
      <c r="J720" s="22" t="n"/>
      <c r="K720" s="22" t="n"/>
      <c r="L720" s="22" t="n"/>
      <c r="M720" s="22" t="n"/>
      <c r="N720" s="22" t="n"/>
      <c r="O720" s="22" t="n"/>
      <c r="P720" s="22" t="n"/>
      <c r="Q720" s="22" t="n"/>
      <c r="R720" s="22" t="n"/>
      <c r="S720" s="22" t="n"/>
      <c r="T720" s="22" t="n"/>
      <c r="U720" s="22" t="n"/>
      <c r="V720" s="22" t="n"/>
      <c r="W720" s="22" t="n"/>
      <c r="X720" s="22" t="n"/>
      <c r="Y720" s="22" t="n"/>
      <c r="Z720" s="22" t="n"/>
      <c r="AA720" s="22" t="n"/>
    </row>
    <row r="721" ht="11.25" customHeight="1">
      <c r="A721" s="22" t="n"/>
      <c r="B721" s="22" t="n"/>
      <c r="C721" s="22" t="n"/>
      <c r="D721" s="26" t="n"/>
      <c r="E721" s="27" t="n"/>
      <c r="F721" s="27" t="n"/>
      <c r="G721" s="22" t="n"/>
      <c r="H721" s="22" t="n"/>
      <c r="I721" s="22" t="n"/>
      <c r="J721" s="22" t="n"/>
      <c r="K721" s="22" t="n"/>
      <c r="L721" s="22" t="n"/>
      <c r="M721" s="22" t="n"/>
      <c r="N721" s="22" t="n"/>
      <c r="O721" s="22" t="n"/>
      <c r="P721" s="22" t="n"/>
      <c r="Q721" s="22" t="n"/>
      <c r="R721" s="22" t="n"/>
      <c r="S721" s="22" t="n"/>
      <c r="T721" s="22" t="n"/>
      <c r="U721" s="22" t="n"/>
      <c r="V721" s="22" t="n"/>
      <c r="W721" s="22" t="n"/>
      <c r="X721" s="22" t="n"/>
      <c r="Y721" s="22" t="n"/>
      <c r="Z721" s="22" t="n"/>
      <c r="AA721" s="22" t="n"/>
    </row>
    <row r="722" ht="11.25" customHeight="1">
      <c r="A722" s="22" t="n"/>
      <c r="B722" s="22" t="n"/>
      <c r="C722" s="22" t="n"/>
      <c r="D722" s="26" t="n"/>
      <c r="E722" s="27" t="n"/>
      <c r="F722" s="27" t="n"/>
      <c r="G722" s="22" t="n"/>
      <c r="H722" s="22" t="n"/>
      <c r="I722" s="22" t="n"/>
      <c r="J722" s="22" t="n"/>
      <c r="K722" s="22" t="n"/>
      <c r="L722" s="22" t="n"/>
      <c r="M722" s="22" t="n"/>
      <c r="N722" s="22" t="n"/>
      <c r="O722" s="22" t="n"/>
      <c r="P722" s="22" t="n"/>
      <c r="Q722" s="22" t="n"/>
      <c r="R722" s="22" t="n"/>
      <c r="S722" s="22" t="n"/>
      <c r="T722" s="22" t="n"/>
      <c r="U722" s="22" t="n"/>
      <c r="V722" s="22" t="n"/>
      <c r="W722" s="22" t="n"/>
      <c r="X722" s="22" t="n"/>
      <c r="Y722" s="22" t="n"/>
      <c r="Z722" s="22" t="n"/>
      <c r="AA722" s="22" t="n"/>
    </row>
    <row r="723" ht="11.25" customHeight="1">
      <c r="A723" s="22" t="n"/>
      <c r="B723" s="22" t="n"/>
      <c r="C723" s="22" t="n"/>
      <c r="D723" s="26" t="n"/>
      <c r="E723" s="27" t="n"/>
      <c r="F723" s="27" t="n"/>
      <c r="G723" s="22" t="n"/>
      <c r="H723" s="22" t="n"/>
      <c r="I723" s="22" t="n"/>
      <c r="J723" s="22" t="n"/>
      <c r="K723" s="22" t="n"/>
      <c r="L723" s="22" t="n"/>
      <c r="M723" s="22" t="n"/>
      <c r="N723" s="22" t="n"/>
      <c r="O723" s="22" t="n"/>
      <c r="P723" s="22" t="n"/>
      <c r="Q723" s="22" t="n"/>
      <c r="R723" s="22" t="n"/>
      <c r="S723" s="22" t="n"/>
      <c r="T723" s="22" t="n"/>
      <c r="U723" s="22" t="n"/>
      <c r="V723" s="22" t="n"/>
      <c r="W723" s="22" t="n"/>
      <c r="X723" s="22" t="n"/>
      <c r="Y723" s="22" t="n"/>
      <c r="Z723" s="22" t="n"/>
      <c r="AA723" s="22" t="n"/>
    </row>
    <row r="724" ht="11.25" customHeight="1">
      <c r="A724" s="22" t="n"/>
      <c r="B724" s="22" t="n"/>
      <c r="C724" s="22" t="n"/>
      <c r="D724" s="26" t="n"/>
      <c r="E724" s="27" t="n"/>
      <c r="F724" s="27" t="n"/>
      <c r="G724" s="22" t="n"/>
      <c r="H724" s="22" t="n"/>
      <c r="I724" s="22" t="n"/>
      <c r="J724" s="22" t="n"/>
      <c r="K724" s="22" t="n"/>
      <c r="L724" s="22" t="n"/>
      <c r="M724" s="22" t="n"/>
      <c r="N724" s="22" t="n"/>
      <c r="O724" s="22" t="n"/>
      <c r="P724" s="22" t="n"/>
      <c r="Q724" s="22" t="n"/>
      <c r="R724" s="22" t="n"/>
      <c r="S724" s="22" t="n"/>
      <c r="T724" s="22" t="n"/>
      <c r="U724" s="22" t="n"/>
      <c r="V724" s="22" t="n"/>
      <c r="W724" s="22" t="n"/>
      <c r="X724" s="22" t="n"/>
      <c r="Y724" s="22" t="n"/>
      <c r="Z724" s="22" t="n"/>
      <c r="AA724" s="22" t="n"/>
    </row>
    <row r="725" ht="11.25" customHeight="1">
      <c r="A725" s="22" t="n"/>
      <c r="B725" s="22" t="n"/>
      <c r="C725" s="22" t="n"/>
      <c r="D725" s="26" t="n"/>
      <c r="E725" s="27" t="n"/>
      <c r="F725" s="27" t="n"/>
      <c r="G725" s="22" t="n"/>
      <c r="H725" s="22" t="n"/>
      <c r="I725" s="22" t="n"/>
      <c r="J725" s="22" t="n"/>
      <c r="K725" s="22" t="n"/>
      <c r="L725" s="22" t="n"/>
      <c r="M725" s="22" t="n"/>
      <c r="N725" s="22" t="n"/>
      <c r="O725" s="22" t="n"/>
      <c r="P725" s="22" t="n"/>
      <c r="Q725" s="22" t="n"/>
      <c r="R725" s="22" t="n"/>
      <c r="S725" s="22" t="n"/>
      <c r="T725" s="22" t="n"/>
      <c r="U725" s="22" t="n"/>
      <c r="V725" s="22" t="n"/>
      <c r="W725" s="22" t="n"/>
      <c r="X725" s="22" t="n"/>
      <c r="Y725" s="22" t="n"/>
      <c r="Z725" s="22" t="n"/>
      <c r="AA725" s="22" t="n"/>
    </row>
    <row r="726" ht="11.25" customHeight="1">
      <c r="A726" s="22" t="n"/>
      <c r="B726" s="22" t="n"/>
      <c r="C726" s="22" t="n"/>
      <c r="D726" s="26" t="n"/>
      <c r="E726" s="27" t="n"/>
      <c r="F726" s="27" t="n"/>
      <c r="G726" s="22" t="n"/>
      <c r="H726" s="22" t="n"/>
      <c r="I726" s="22" t="n"/>
      <c r="J726" s="22" t="n"/>
      <c r="K726" s="22" t="n"/>
      <c r="L726" s="22" t="n"/>
      <c r="M726" s="22" t="n"/>
      <c r="N726" s="22" t="n"/>
      <c r="O726" s="22" t="n"/>
      <c r="P726" s="22" t="n"/>
      <c r="Q726" s="22" t="n"/>
      <c r="R726" s="22" t="n"/>
      <c r="S726" s="22" t="n"/>
      <c r="T726" s="22" t="n"/>
      <c r="U726" s="22" t="n"/>
      <c r="V726" s="22" t="n"/>
      <c r="W726" s="22" t="n"/>
      <c r="X726" s="22" t="n"/>
      <c r="Y726" s="22" t="n"/>
      <c r="Z726" s="22" t="n"/>
      <c r="AA726" s="22" t="n"/>
    </row>
    <row r="727" ht="11.25" customHeight="1">
      <c r="A727" s="22" t="n"/>
      <c r="B727" s="22" t="n"/>
      <c r="C727" s="22" t="n"/>
      <c r="D727" s="26" t="n"/>
      <c r="E727" s="27" t="n"/>
      <c r="F727" s="27" t="n"/>
      <c r="G727" s="22" t="n"/>
      <c r="H727" s="22" t="n"/>
      <c r="I727" s="22" t="n"/>
      <c r="J727" s="22" t="n"/>
      <c r="K727" s="22" t="n"/>
      <c r="L727" s="22" t="n"/>
      <c r="M727" s="22" t="n"/>
      <c r="N727" s="22" t="n"/>
      <c r="O727" s="22" t="n"/>
      <c r="P727" s="22" t="n"/>
      <c r="Q727" s="22" t="n"/>
      <c r="R727" s="22" t="n"/>
      <c r="S727" s="22" t="n"/>
      <c r="T727" s="22" t="n"/>
      <c r="U727" s="22" t="n"/>
      <c r="V727" s="22" t="n"/>
      <c r="W727" s="22" t="n"/>
      <c r="X727" s="22" t="n"/>
      <c r="Y727" s="22" t="n"/>
      <c r="Z727" s="22" t="n"/>
      <c r="AA727" s="22" t="n"/>
    </row>
    <row r="728" ht="11.25" customHeight="1">
      <c r="A728" s="22" t="n"/>
      <c r="B728" s="22" t="n"/>
      <c r="C728" s="22" t="n"/>
      <c r="D728" s="26" t="n"/>
      <c r="E728" s="27" t="n"/>
      <c r="F728" s="27" t="n"/>
      <c r="G728" s="22" t="n"/>
      <c r="H728" s="22" t="n"/>
      <c r="I728" s="22" t="n"/>
      <c r="J728" s="22" t="n"/>
      <c r="K728" s="22" t="n"/>
      <c r="L728" s="22" t="n"/>
      <c r="M728" s="22" t="n"/>
      <c r="N728" s="22" t="n"/>
      <c r="O728" s="22" t="n"/>
      <c r="P728" s="22" t="n"/>
      <c r="Q728" s="22" t="n"/>
      <c r="R728" s="22" t="n"/>
      <c r="S728" s="22" t="n"/>
      <c r="T728" s="22" t="n"/>
      <c r="U728" s="22" t="n"/>
      <c r="V728" s="22" t="n"/>
      <c r="W728" s="22" t="n"/>
      <c r="X728" s="22" t="n"/>
      <c r="Y728" s="22" t="n"/>
      <c r="Z728" s="22" t="n"/>
      <c r="AA728" s="22" t="n"/>
    </row>
    <row r="729" ht="11.25" customHeight="1">
      <c r="A729" s="22" t="n"/>
      <c r="B729" s="22" t="n"/>
      <c r="C729" s="22" t="n"/>
      <c r="D729" s="26" t="n"/>
      <c r="E729" s="27" t="n"/>
      <c r="F729" s="27" t="n"/>
      <c r="G729" s="22" t="n"/>
      <c r="H729" s="22" t="n"/>
      <c r="I729" s="22" t="n"/>
      <c r="J729" s="22" t="n"/>
      <c r="K729" s="22" t="n"/>
      <c r="L729" s="22" t="n"/>
      <c r="M729" s="22" t="n"/>
      <c r="N729" s="22" t="n"/>
      <c r="O729" s="22" t="n"/>
      <c r="P729" s="22" t="n"/>
      <c r="Q729" s="22" t="n"/>
      <c r="R729" s="22" t="n"/>
      <c r="S729" s="22" t="n"/>
      <c r="T729" s="22" t="n"/>
      <c r="U729" s="22" t="n"/>
      <c r="V729" s="22" t="n"/>
      <c r="W729" s="22" t="n"/>
      <c r="X729" s="22" t="n"/>
      <c r="Y729" s="22" t="n"/>
      <c r="Z729" s="22" t="n"/>
      <c r="AA729" s="22" t="n"/>
    </row>
    <row r="730" ht="11.25" customHeight="1">
      <c r="A730" s="22" t="n"/>
      <c r="B730" s="22" t="n"/>
      <c r="C730" s="22" t="n"/>
      <c r="D730" s="26" t="n"/>
      <c r="E730" s="27" t="n"/>
      <c r="F730" s="27" t="n"/>
      <c r="G730" s="22" t="n"/>
      <c r="H730" s="22" t="n"/>
      <c r="I730" s="22" t="n"/>
      <c r="J730" s="22" t="n"/>
      <c r="K730" s="22" t="n"/>
      <c r="L730" s="22" t="n"/>
      <c r="M730" s="22" t="n"/>
      <c r="N730" s="22" t="n"/>
      <c r="O730" s="22" t="n"/>
      <c r="P730" s="22" t="n"/>
      <c r="Q730" s="22" t="n"/>
      <c r="R730" s="22" t="n"/>
      <c r="S730" s="22" t="n"/>
      <c r="T730" s="22" t="n"/>
      <c r="U730" s="22" t="n"/>
      <c r="V730" s="22" t="n"/>
      <c r="W730" s="22" t="n"/>
      <c r="X730" s="22" t="n"/>
      <c r="Y730" s="22" t="n"/>
      <c r="Z730" s="22" t="n"/>
      <c r="AA730" s="22" t="n"/>
    </row>
    <row r="731" ht="11.25" customHeight="1">
      <c r="A731" s="22" t="n"/>
      <c r="B731" s="22" t="n"/>
      <c r="C731" s="22" t="n"/>
      <c r="D731" s="26" t="n"/>
      <c r="E731" s="27" t="n"/>
      <c r="F731" s="27" t="n"/>
      <c r="G731" s="22" t="n"/>
      <c r="H731" s="22" t="n"/>
      <c r="I731" s="22" t="n"/>
      <c r="J731" s="22" t="n"/>
      <c r="K731" s="22" t="n"/>
      <c r="L731" s="22" t="n"/>
      <c r="M731" s="22" t="n"/>
      <c r="N731" s="22" t="n"/>
      <c r="O731" s="22" t="n"/>
      <c r="P731" s="22" t="n"/>
      <c r="Q731" s="22" t="n"/>
      <c r="R731" s="22" t="n"/>
      <c r="S731" s="22" t="n"/>
      <c r="T731" s="22" t="n"/>
      <c r="U731" s="22" t="n"/>
      <c r="V731" s="22" t="n"/>
      <c r="W731" s="22" t="n"/>
      <c r="X731" s="22" t="n"/>
      <c r="Y731" s="22" t="n"/>
      <c r="Z731" s="22" t="n"/>
      <c r="AA731" s="22" t="n"/>
    </row>
    <row r="732" ht="11.25" customHeight="1">
      <c r="A732" s="22" t="n"/>
      <c r="B732" s="22" t="n"/>
      <c r="C732" s="22" t="n"/>
      <c r="D732" s="26" t="n"/>
      <c r="E732" s="27" t="n"/>
      <c r="F732" s="27" t="n"/>
      <c r="G732" s="22" t="n"/>
      <c r="H732" s="22" t="n"/>
      <c r="I732" s="22" t="n"/>
      <c r="J732" s="22" t="n"/>
      <c r="K732" s="22" t="n"/>
      <c r="L732" s="22" t="n"/>
      <c r="M732" s="22" t="n"/>
      <c r="N732" s="22" t="n"/>
      <c r="O732" s="22" t="n"/>
      <c r="P732" s="22" t="n"/>
      <c r="Q732" s="22" t="n"/>
      <c r="R732" s="22" t="n"/>
      <c r="S732" s="22" t="n"/>
      <c r="T732" s="22" t="n"/>
      <c r="U732" s="22" t="n"/>
      <c r="V732" s="22" t="n"/>
      <c r="W732" s="22" t="n"/>
      <c r="X732" s="22" t="n"/>
      <c r="Y732" s="22" t="n"/>
      <c r="Z732" s="22" t="n"/>
      <c r="AA732" s="22" t="n"/>
    </row>
    <row r="733" ht="11.25" customHeight="1">
      <c r="A733" s="22" t="n"/>
      <c r="B733" s="22" t="n"/>
      <c r="C733" s="22" t="n"/>
      <c r="D733" s="26" t="n"/>
      <c r="E733" s="27" t="n"/>
      <c r="F733" s="27" t="n"/>
      <c r="G733" s="22" t="n"/>
      <c r="H733" s="22" t="n"/>
      <c r="I733" s="22" t="n"/>
      <c r="J733" s="22" t="n"/>
      <c r="K733" s="22" t="n"/>
      <c r="L733" s="22" t="n"/>
      <c r="M733" s="22" t="n"/>
      <c r="N733" s="22" t="n"/>
      <c r="O733" s="22" t="n"/>
      <c r="P733" s="22" t="n"/>
      <c r="Q733" s="22" t="n"/>
      <c r="R733" s="22" t="n"/>
      <c r="S733" s="22" t="n"/>
      <c r="T733" s="22" t="n"/>
      <c r="U733" s="22" t="n"/>
      <c r="V733" s="22" t="n"/>
      <c r="W733" s="22" t="n"/>
      <c r="X733" s="22" t="n"/>
      <c r="Y733" s="22" t="n"/>
      <c r="Z733" s="22" t="n"/>
      <c r="AA733" s="22" t="n"/>
    </row>
    <row r="734" ht="11.25" customHeight="1">
      <c r="A734" s="22" t="n"/>
      <c r="B734" s="22" t="n"/>
      <c r="C734" s="22" t="n"/>
      <c r="D734" s="26" t="n"/>
      <c r="E734" s="27" t="n"/>
      <c r="F734" s="27" t="n"/>
      <c r="G734" s="22" t="n"/>
      <c r="H734" s="22" t="n"/>
      <c r="I734" s="22" t="n"/>
      <c r="J734" s="22" t="n"/>
      <c r="K734" s="22" t="n"/>
      <c r="L734" s="22" t="n"/>
      <c r="M734" s="22" t="n"/>
      <c r="N734" s="22" t="n"/>
      <c r="O734" s="22" t="n"/>
      <c r="P734" s="22" t="n"/>
      <c r="Q734" s="22" t="n"/>
      <c r="R734" s="22" t="n"/>
      <c r="S734" s="22" t="n"/>
      <c r="T734" s="22" t="n"/>
      <c r="U734" s="22" t="n"/>
      <c r="V734" s="22" t="n"/>
      <c r="W734" s="22" t="n"/>
      <c r="X734" s="22" t="n"/>
      <c r="Y734" s="22" t="n"/>
      <c r="Z734" s="22" t="n"/>
      <c r="AA734" s="22" t="n"/>
    </row>
    <row r="735" ht="11.25" customHeight="1">
      <c r="A735" s="22" t="n"/>
      <c r="B735" s="22" t="n"/>
      <c r="C735" s="22" t="n"/>
      <c r="D735" s="26" t="n"/>
      <c r="E735" s="27" t="n"/>
      <c r="F735" s="27" t="n"/>
      <c r="G735" s="22" t="n"/>
      <c r="H735" s="22" t="n"/>
      <c r="I735" s="22" t="n"/>
      <c r="J735" s="22" t="n"/>
      <c r="K735" s="22" t="n"/>
      <c r="L735" s="22" t="n"/>
      <c r="M735" s="22" t="n"/>
      <c r="N735" s="22" t="n"/>
      <c r="O735" s="22" t="n"/>
      <c r="P735" s="22" t="n"/>
      <c r="Q735" s="22" t="n"/>
      <c r="R735" s="22" t="n"/>
      <c r="S735" s="22" t="n"/>
      <c r="T735" s="22" t="n"/>
      <c r="U735" s="22" t="n"/>
      <c r="V735" s="22" t="n"/>
      <c r="W735" s="22" t="n"/>
      <c r="X735" s="22" t="n"/>
      <c r="Y735" s="22" t="n"/>
      <c r="Z735" s="22" t="n"/>
      <c r="AA735" s="22" t="n"/>
    </row>
    <row r="736" ht="11.25" customHeight="1">
      <c r="A736" s="22" t="n"/>
      <c r="B736" s="22" t="n"/>
      <c r="C736" s="22" t="n"/>
      <c r="D736" s="26" t="n"/>
      <c r="E736" s="27" t="n"/>
      <c r="F736" s="27" t="n"/>
      <c r="G736" s="22" t="n"/>
      <c r="H736" s="22" t="n"/>
      <c r="I736" s="22" t="n"/>
      <c r="J736" s="22" t="n"/>
      <c r="K736" s="22" t="n"/>
      <c r="L736" s="22" t="n"/>
      <c r="M736" s="22" t="n"/>
      <c r="N736" s="22" t="n"/>
      <c r="O736" s="22" t="n"/>
      <c r="P736" s="22" t="n"/>
      <c r="Q736" s="22" t="n"/>
      <c r="R736" s="22" t="n"/>
      <c r="S736" s="22" t="n"/>
      <c r="T736" s="22" t="n"/>
      <c r="U736" s="22" t="n"/>
      <c r="V736" s="22" t="n"/>
      <c r="W736" s="22" t="n"/>
      <c r="X736" s="22" t="n"/>
      <c r="Y736" s="22" t="n"/>
      <c r="Z736" s="22" t="n"/>
      <c r="AA736" s="22" t="n"/>
    </row>
    <row r="737" ht="11.25" customHeight="1">
      <c r="A737" s="22" t="n"/>
      <c r="B737" s="22" t="n"/>
      <c r="C737" s="22" t="n"/>
      <c r="D737" s="26" t="n"/>
      <c r="E737" s="27" t="n"/>
      <c r="F737" s="27" t="n"/>
      <c r="G737" s="22" t="n"/>
      <c r="H737" s="22" t="n"/>
      <c r="I737" s="22" t="n"/>
      <c r="J737" s="22" t="n"/>
      <c r="K737" s="22" t="n"/>
      <c r="L737" s="22" t="n"/>
      <c r="M737" s="22" t="n"/>
      <c r="N737" s="22" t="n"/>
      <c r="O737" s="22" t="n"/>
      <c r="P737" s="22" t="n"/>
      <c r="Q737" s="22" t="n"/>
      <c r="R737" s="22" t="n"/>
      <c r="S737" s="22" t="n"/>
      <c r="T737" s="22" t="n"/>
      <c r="U737" s="22" t="n"/>
      <c r="V737" s="22" t="n"/>
      <c r="W737" s="22" t="n"/>
      <c r="X737" s="22" t="n"/>
      <c r="Y737" s="22" t="n"/>
      <c r="Z737" s="22" t="n"/>
      <c r="AA737" s="22" t="n"/>
    </row>
    <row r="738" ht="11.25" customHeight="1">
      <c r="A738" s="22" t="n"/>
      <c r="B738" s="22" t="n"/>
      <c r="C738" s="22" t="n"/>
      <c r="D738" s="26" t="n"/>
      <c r="E738" s="27" t="n"/>
      <c r="F738" s="27" t="n"/>
      <c r="G738" s="22" t="n"/>
      <c r="H738" s="22" t="n"/>
      <c r="I738" s="22" t="n"/>
      <c r="J738" s="22" t="n"/>
      <c r="K738" s="22" t="n"/>
      <c r="L738" s="22" t="n"/>
      <c r="M738" s="22" t="n"/>
      <c r="N738" s="22" t="n"/>
      <c r="O738" s="22" t="n"/>
      <c r="P738" s="22" t="n"/>
      <c r="Q738" s="22" t="n"/>
      <c r="R738" s="22" t="n"/>
      <c r="S738" s="22" t="n"/>
      <c r="T738" s="22" t="n"/>
      <c r="U738" s="22" t="n"/>
      <c r="V738" s="22" t="n"/>
      <c r="W738" s="22" t="n"/>
      <c r="X738" s="22" t="n"/>
      <c r="Y738" s="22" t="n"/>
      <c r="Z738" s="22" t="n"/>
      <c r="AA738" s="22" t="n"/>
    </row>
    <row r="739" ht="11.25" customHeight="1">
      <c r="A739" s="22" t="n"/>
      <c r="B739" s="22" t="n"/>
      <c r="C739" s="22" t="n"/>
      <c r="D739" s="26" t="n"/>
      <c r="E739" s="27" t="n"/>
      <c r="F739" s="27" t="n"/>
      <c r="G739" s="22" t="n"/>
      <c r="H739" s="22" t="n"/>
      <c r="I739" s="22" t="n"/>
      <c r="J739" s="22" t="n"/>
      <c r="K739" s="22" t="n"/>
      <c r="L739" s="22" t="n"/>
      <c r="M739" s="22" t="n"/>
      <c r="N739" s="22" t="n"/>
      <c r="O739" s="22" t="n"/>
      <c r="P739" s="22" t="n"/>
      <c r="Q739" s="22" t="n"/>
      <c r="R739" s="22" t="n"/>
      <c r="S739" s="22" t="n"/>
      <c r="T739" s="22" t="n"/>
      <c r="U739" s="22" t="n"/>
      <c r="V739" s="22" t="n"/>
      <c r="W739" s="22" t="n"/>
      <c r="X739" s="22" t="n"/>
      <c r="Y739" s="22" t="n"/>
      <c r="Z739" s="22" t="n"/>
      <c r="AA739" s="22" t="n"/>
    </row>
    <row r="740" ht="11.25" customHeight="1">
      <c r="A740" s="22" t="n"/>
      <c r="B740" s="22" t="n"/>
      <c r="C740" s="22" t="n"/>
      <c r="D740" s="26" t="n"/>
      <c r="E740" s="27" t="n"/>
      <c r="F740" s="27" t="n"/>
      <c r="G740" s="22" t="n"/>
      <c r="H740" s="22" t="n"/>
      <c r="I740" s="22" t="n"/>
      <c r="J740" s="22" t="n"/>
      <c r="K740" s="22" t="n"/>
      <c r="L740" s="22" t="n"/>
      <c r="M740" s="22" t="n"/>
      <c r="N740" s="22" t="n"/>
      <c r="O740" s="22" t="n"/>
      <c r="P740" s="22" t="n"/>
      <c r="Q740" s="22" t="n"/>
      <c r="R740" s="22" t="n"/>
      <c r="S740" s="22" t="n"/>
      <c r="T740" s="22" t="n"/>
      <c r="U740" s="22" t="n"/>
      <c r="V740" s="22" t="n"/>
      <c r="W740" s="22" t="n"/>
      <c r="X740" s="22" t="n"/>
      <c r="Y740" s="22" t="n"/>
      <c r="Z740" s="22" t="n"/>
      <c r="AA740" s="22" t="n"/>
    </row>
    <row r="741" ht="11.25" customHeight="1">
      <c r="A741" s="22" t="n"/>
      <c r="B741" s="22" t="n"/>
      <c r="C741" s="22" t="n"/>
      <c r="D741" s="26" t="n"/>
      <c r="E741" s="27" t="n"/>
      <c r="F741" s="27" t="n"/>
      <c r="G741" s="22" t="n"/>
      <c r="H741" s="22" t="n"/>
      <c r="I741" s="22" t="n"/>
      <c r="J741" s="22" t="n"/>
      <c r="K741" s="22" t="n"/>
      <c r="L741" s="22" t="n"/>
      <c r="M741" s="22" t="n"/>
      <c r="N741" s="22" t="n"/>
      <c r="O741" s="22" t="n"/>
      <c r="P741" s="22" t="n"/>
      <c r="Q741" s="22" t="n"/>
      <c r="R741" s="22" t="n"/>
      <c r="S741" s="22" t="n"/>
      <c r="T741" s="22" t="n"/>
      <c r="U741" s="22" t="n"/>
      <c r="V741" s="22" t="n"/>
      <c r="W741" s="22" t="n"/>
      <c r="X741" s="22" t="n"/>
      <c r="Y741" s="22" t="n"/>
      <c r="Z741" s="22" t="n"/>
      <c r="AA741" s="22" t="n"/>
    </row>
    <row r="742" ht="11.25" customHeight="1">
      <c r="A742" s="22" t="n"/>
      <c r="B742" s="22" t="n"/>
      <c r="C742" s="22" t="n"/>
      <c r="D742" s="26" t="n"/>
      <c r="E742" s="27" t="n"/>
      <c r="F742" s="27" t="n"/>
      <c r="G742" s="22" t="n"/>
      <c r="H742" s="22" t="n"/>
      <c r="I742" s="22" t="n"/>
      <c r="J742" s="22" t="n"/>
      <c r="K742" s="22" t="n"/>
      <c r="L742" s="22" t="n"/>
      <c r="M742" s="22" t="n"/>
      <c r="N742" s="22" t="n"/>
      <c r="O742" s="22" t="n"/>
      <c r="P742" s="22" t="n"/>
      <c r="Q742" s="22" t="n"/>
      <c r="R742" s="22" t="n"/>
      <c r="S742" s="22" t="n"/>
      <c r="T742" s="22" t="n"/>
      <c r="U742" s="22" t="n"/>
      <c r="V742" s="22" t="n"/>
      <c r="W742" s="22" t="n"/>
      <c r="X742" s="22" t="n"/>
      <c r="Y742" s="22" t="n"/>
      <c r="Z742" s="22" t="n"/>
      <c r="AA742" s="22" t="n"/>
    </row>
    <row r="743" ht="11.25" customHeight="1">
      <c r="A743" s="22" t="n"/>
      <c r="B743" s="22" t="n"/>
      <c r="C743" s="22" t="n"/>
      <c r="D743" s="26" t="n"/>
      <c r="E743" s="27" t="n"/>
      <c r="F743" s="27" t="n"/>
      <c r="G743" s="22" t="n"/>
      <c r="H743" s="22" t="n"/>
      <c r="I743" s="22" t="n"/>
      <c r="J743" s="22" t="n"/>
      <c r="K743" s="22" t="n"/>
      <c r="L743" s="22" t="n"/>
      <c r="M743" s="22" t="n"/>
      <c r="N743" s="22" t="n"/>
      <c r="O743" s="22" t="n"/>
      <c r="P743" s="22" t="n"/>
      <c r="Q743" s="22" t="n"/>
      <c r="R743" s="22" t="n"/>
      <c r="S743" s="22" t="n"/>
      <c r="T743" s="22" t="n"/>
      <c r="U743" s="22" t="n"/>
      <c r="V743" s="22" t="n"/>
      <c r="W743" s="22" t="n"/>
      <c r="X743" s="22" t="n"/>
      <c r="Y743" s="22" t="n"/>
      <c r="Z743" s="22" t="n"/>
      <c r="AA743" s="22" t="n"/>
    </row>
    <row r="744" ht="11.25" customHeight="1">
      <c r="A744" s="22" t="n"/>
      <c r="B744" s="22" t="n"/>
      <c r="C744" s="22" t="n"/>
      <c r="D744" s="26" t="n"/>
      <c r="E744" s="27" t="n"/>
      <c r="F744" s="27" t="n"/>
      <c r="G744" s="22" t="n"/>
      <c r="H744" s="22" t="n"/>
      <c r="I744" s="22" t="n"/>
      <c r="J744" s="22" t="n"/>
      <c r="K744" s="22" t="n"/>
      <c r="L744" s="22" t="n"/>
      <c r="M744" s="22" t="n"/>
      <c r="N744" s="22" t="n"/>
      <c r="O744" s="22" t="n"/>
      <c r="P744" s="22" t="n"/>
      <c r="Q744" s="22" t="n"/>
      <c r="R744" s="22" t="n"/>
      <c r="S744" s="22" t="n"/>
      <c r="T744" s="22" t="n"/>
      <c r="U744" s="22" t="n"/>
      <c r="V744" s="22" t="n"/>
      <c r="W744" s="22" t="n"/>
      <c r="X744" s="22" t="n"/>
      <c r="Y744" s="22" t="n"/>
      <c r="Z744" s="22" t="n"/>
      <c r="AA744" s="22" t="n"/>
    </row>
    <row r="745" ht="11.25" customHeight="1">
      <c r="A745" s="22" t="n"/>
      <c r="B745" s="22" t="n"/>
      <c r="C745" s="22" t="n"/>
      <c r="D745" s="26" t="n"/>
      <c r="E745" s="27" t="n"/>
      <c r="F745" s="27" t="n"/>
      <c r="G745" s="22" t="n"/>
      <c r="H745" s="22" t="n"/>
      <c r="I745" s="22" t="n"/>
      <c r="J745" s="22" t="n"/>
      <c r="K745" s="22" t="n"/>
      <c r="L745" s="22" t="n"/>
      <c r="M745" s="22" t="n"/>
      <c r="N745" s="22" t="n"/>
      <c r="O745" s="22" t="n"/>
      <c r="P745" s="22" t="n"/>
      <c r="Q745" s="22" t="n"/>
      <c r="R745" s="22" t="n"/>
      <c r="S745" s="22" t="n"/>
      <c r="T745" s="22" t="n"/>
      <c r="U745" s="22" t="n"/>
      <c r="V745" s="22" t="n"/>
      <c r="W745" s="22" t="n"/>
      <c r="X745" s="22" t="n"/>
      <c r="Y745" s="22" t="n"/>
      <c r="Z745" s="22" t="n"/>
      <c r="AA745" s="22" t="n"/>
    </row>
    <row r="746" ht="11.25" customHeight="1">
      <c r="A746" s="22" t="n"/>
      <c r="B746" s="22" t="n"/>
      <c r="C746" s="22" t="n"/>
      <c r="D746" s="26" t="n"/>
      <c r="E746" s="27" t="n"/>
      <c r="F746" s="27" t="n"/>
      <c r="G746" s="22" t="n"/>
      <c r="H746" s="22" t="n"/>
      <c r="I746" s="22" t="n"/>
      <c r="J746" s="22" t="n"/>
      <c r="K746" s="22" t="n"/>
      <c r="L746" s="22" t="n"/>
      <c r="M746" s="22" t="n"/>
      <c r="N746" s="22" t="n"/>
      <c r="O746" s="22" t="n"/>
      <c r="P746" s="22" t="n"/>
      <c r="Q746" s="22" t="n"/>
      <c r="R746" s="22" t="n"/>
      <c r="S746" s="22" t="n"/>
      <c r="T746" s="22" t="n"/>
      <c r="U746" s="22" t="n"/>
      <c r="V746" s="22" t="n"/>
      <c r="W746" s="22" t="n"/>
      <c r="X746" s="22" t="n"/>
      <c r="Y746" s="22" t="n"/>
      <c r="Z746" s="22" t="n"/>
      <c r="AA746" s="22" t="n"/>
    </row>
    <row r="747" ht="11.25" customHeight="1">
      <c r="A747" s="22" t="n"/>
      <c r="B747" s="22" t="n"/>
      <c r="C747" s="22" t="n"/>
      <c r="D747" s="26" t="n"/>
      <c r="E747" s="27" t="n"/>
      <c r="F747" s="27" t="n"/>
      <c r="G747" s="22" t="n"/>
      <c r="H747" s="22" t="n"/>
      <c r="I747" s="22" t="n"/>
      <c r="J747" s="22" t="n"/>
      <c r="K747" s="22" t="n"/>
      <c r="L747" s="22" t="n"/>
      <c r="M747" s="22" t="n"/>
      <c r="N747" s="22" t="n"/>
      <c r="O747" s="22" t="n"/>
      <c r="P747" s="22" t="n"/>
      <c r="Q747" s="22" t="n"/>
      <c r="R747" s="22" t="n"/>
      <c r="S747" s="22" t="n"/>
      <c r="T747" s="22" t="n"/>
      <c r="U747" s="22" t="n"/>
      <c r="V747" s="22" t="n"/>
      <c r="W747" s="22" t="n"/>
      <c r="X747" s="22" t="n"/>
      <c r="Y747" s="22" t="n"/>
      <c r="Z747" s="22" t="n"/>
      <c r="AA747" s="22" t="n"/>
    </row>
    <row r="748" ht="11.25" customHeight="1">
      <c r="A748" s="22" t="n"/>
      <c r="B748" s="22" t="n"/>
      <c r="C748" s="22" t="n"/>
      <c r="D748" s="26" t="n"/>
      <c r="E748" s="27" t="n"/>
      <c r="F748" s="27" t="n"/>
      <c r="G748" s="22" t="n"/>
      <c r="H748" s="22" t="n"/>
      <c r="I748" s="22" t="n"/>
      <c r="J748" s="22" t="n"/>
      <c r="K748" s="22" t="n"/>
      <c r="L748" s="22" t="n"/>
      <c r="M748" s="22" t="n"/>
      <c r="N748" s="22" t="n"/>
      <c r="O748" s="22" t="n"/>
      <c r="P748" s="22" t="n"/>
      <c r="Q748" s="22" t="n"/>
      <c r="R748" s="22" t="n"/>
      <c r="S748" s="22" t="n"/>
      <c r="T748" s="22" t="n"/>
      <c r="U748" s="22" t="n"/>
      <c r="V748" s="22" t="n"/>
      <c r="W748" s="22" t="n"/>
      <c r="X748" s="22" t="n"/>
      <c r="Y748" s="22" t="n"/>
      <c r="Z748" s="22" t="n"/>
      <c r="AA748" s="22" t="n"/>
    </row>
    <row r="749" ht="11.25" customHeight="1">
      <c r="A749" s="22" t="n"/>
      <c r="B749" s="22" t="n"/>
      <c r="C749" s="22" t="n"/>
      <c r="D749" s="26" t="n"/>
      <c r="E749" s="27" t="n"/>
      <c r="F749" s="27" t="n"/>
      <c r="G749" s="22" t="n"/>
      <c r="H749" s="22" t="n"/>
      <c r="I749" s="22" t="n"/>
      <c r="J749" s="22" t="n"/>
      <c r="K749" s="22" t="n"/>
      <c r="L749" s="22" t="n"/>
      <c r="M749" s="22" t="n"/>
      <c r="N749" s="22" t="n"/>
      <c r="O749" s="22" t="n"/>
      <c r="P749" s="22" t="n"/>
      <c r="Q749" s="22" t="n"/>
      <c r="R749" s="22" t="n"/>
      <c r="S749" s="22" t="n"/>
      <c r="T749" s="22" t="n"/>
      <c r="U749" s="22" t="n"/>
      <c r="V749" s="22" t="n"/>
      <c r="W749" s="22" t="n"/>
      <c r="X749" s="22" t="n"/>
      <c r="Y749" s="22" t="n"/>
      <c r="Z749" s="22" t="n"/>
      <c r="AA749" s="22" t="n"/>
    </row>
    <row r="750" ht="11.25" customHeight="1">
      <c r="A750" s="22" t="n"/>
      <c r="B750" s="22" t="n"/>
      <c r="C750" s="22" t="n"/>
      <c r="D750" s="26" t="n"/>
      <c r="E750" s="27" t="n"/>
      <c r="F750" s="27" t="n"/>
      <c r="G750" s="22" t="n"/>
      <c r="H750" s="22" t="n"/>
      <c r="I750" s="22" t="n"/>
      <c r="J750" s="22" t="n"/>
      <c r="K750" s="22" t="n"/>
      <c r="L750" s="22" t="n"/>
      <c r="M750" s="22" t="n"/>
      <c r="N750" s="22" t="n"/>
      <c r="O750" s="22" t="n"/>
      <c r="P750" s="22" t="n"/>
      <c r="Q750" s="22" t="n"/>
      <c r="R750" s="22" t="n"/>
      <c r="S750" s="22" t="n"/>
      <c r="T750" s="22" t="n"/>
      <c r="U750" s="22" t="n"/>
      <c r="V750" s="22" t="n"/>
      <c r="W750" s="22" t="n"/>
      <c r="X750" s="22" t="n"/>
      <c r="Y750" s="22" t="n"/>
      <c r="Z750" s="22" t="n"/>
      <c r="AA750" s="22" t="n"/>
    </row>
    <row r="751" ht="11.25" customHeight="1">
      <c r="A751" s="22" t="n"/>
      <c r="B751" s="22" t="n"/>
      <c r="C751" s="22" t="n"/>
      <c r="D751" s="26" t="n"/>
      <c r="E751" s="27" t="n"/>
      <c r="F751" s="27" t="n"/>
      <c r="G751" s="22" t="n"/>
      <c r="H751" s="22" t="n"/>
      <c r="I751" s="22" t="n"/>
      <c r="J751" s="22" t="n"/>
      <c r="K751" s="22" t="n"/>
      <c r="L751" s="22" t="n"/>
      <c r="M751" s="22" t="n"/>
      <c r="N751" s="22" t="n"/>
      <c r="O751" s="22" t="n"/>
      <c r="P751" s="22" t="n"/>
      <c r="Q751" s="22" t="n"/>
      <c r="R751" s="22" t="n"/>
      <c r="S751" s="22" t="n"/>
      <c r="T751" s="22" t="n"/>
      <c r="U751" s="22" t="n"/>
      <c r="V751" s="22" t="n"/>
      <c r="W751" s="22" t="n"/>
      <c r="X751" s="22" t="n"/>
      <c r="Y751" s="22" t="n"/>
      <c r="Z751" s="22" t="n"/>
      <c r="AA751" s="22" t="n"/>
    </row>
    <row r="752" ht="11.25" customHeight="1">
      <c r="A752" s="22" t="n"/>
      <c r="B752" s="22" t="n"/>
      <c r="C752" s="22" t="n"/>
      <c r="D752" s="26" t="n"/>
      <c r="E752" s="27" t="n"/>
      <c r="F752" s="27" t="n"/>
      <c r="G752" s="22" t="n"/>
      <c r="H752" s="22" t="n"/>
      <c r="I752" s="22" t="n"/>
      <c r="J752" s="22" t="n"/>
      <c r="K752" s="22" t="n"/>
      <c r="L752" s="22" t="n"/>
      <c r="M752" s="22" t="n"/>
      <c r="N752" s="22" t="n"/>
      <c r="O752" s="22" t="n"/>
      <c r="P752" s="22" t="n"/>
      <c r="Q752" s="22" t="n"/>
      <c r="R752" s="22" t="n"/>
      <c r="S752" s="22" t="n"/>
      <c r="T752" s="22" t="n"/>
      <c r="U752" s="22" t="n"/>
      <c r="V752" s="22" t="n"/>
      <c r="W752" s="22" t="n"/>
      <c r="X752" s="22" t="n"/>
      <c r="Y752" s="22" t="n"/>
      <c r="Z752" s="22" t="n"/>
      <c r="AA752" s="22" t="n"/>
    </row>
    <row r="753" ht="11.25" customHeight="1">
      <c r="A753" s="22" t="n"/>
      <c r="B753" s="22" t="n"/>
      <c r="C753" s="22" t="n"/>
      <c r="D753" s="26" t="n"/>
      <c r="E753" s="27" t="n"/>
      <c r="F753" s="27" t="n"/>
      <c r="G753" s="22" t="n"/>
      <c r="H753" s="22" t="n"/>
      <c r="I753" s="22" t="n"/>
      <c r="J753" s="22" t="n"/>
      <c r="K753" s="22" t="n"/>
      <c r="L753" s="22" t="n"/>
      <c r="M753" s="22" t="n"/>
      <c r="N753" s="22" t="n"/>
      <c r="O753" s="22" t="n"/>
      <c r="P753" s="22" t="n"/>
      <c r="Q753" s="22" t="n"/>
      <c r="R753" s="22" t="n"/>
      <c r="S753" s="22" t="n"/>
      <c r="T753" s="22" t="n"/>
      <c r="U753" s="22" t="n"/>
      <c r="V753" s="22" t="n"/>
      <c r="W753" s="22" t="n"/>
      <c r="X753" s="22" t="n"/>
      <c r="Y753" s="22" t="n"/>
      <c r="Z753" s="22" t="n"/>
      <c r="AA753" s="22" t="n"/>
    </row>
    <row r="754" ht="11.25" customHeight="1">
      <c r="A754" s="22" t="n"/>
      <c r="B754" s="22" t="n"/>
      <c r="C754" s="22" t="n"/>
      <c r="D754" s="26" t="n"/>
      <c r="E754" s="27" t="n"/>
      <c r="F754" s="27" t="n"/>
      <c r="G754" s="22" t="n"/>
      <c r="H754" s="22" t="n"/>
      <c r="I754" s="22" t="n"/>
      <c r="J754" s="22" t="n"/>
      <c r="K754" s="22" t="n"/>
      <c r="L754" s="22" t="n"/>
      <c r="M754" s="22" t="n"/>
      <c r="N754" s="22" t="n"/>
      <c r="O754" s="22" t="n"/>
      <c r="P754" s="22" t="n"/>
      <c r="Q754" s="22" t="n"/>
      <c r="R754" s="22" t="n"/>
      <c r="S754" s="22" t="n"/>
      <c r="T754" s="22" t="n"/>
      <c r="U754" s="22" t="n"/>
      <c r="V754" s="22" t="n"/>
      <c r="W754" s="22" t="n"/>
      <c r="X754" s="22" t="n"/>
      <c r="Y754" s="22" t="n"/>
      <c r="Z754" s="22" t="n"/>
      <c r="AA754" s="22" t="n"/>
    </row>
    <row r="755" ht="11.25" customHeight="1">
      <c r="A755" s="22" t="n"/>
      <c r="B755" s="22" t="n"/>
      <c r="C755" s="22" t="n"/>
      <c r="D755" s="26" t="n"/>
      <c r="E755" s="27" t="n"/>
      <c r="F755" s="27" t="n"/>
      <c r="G755" s="22" t="n"/>
      <c r="H755" s="22" t="n"/>
      <c r="I755" s="22" t="n"/>
      <c r="J755" s="22" t="n"/>
      <c r="K755" s="22" t="n"/>
      <c r="L755" s="22" t="n"/>
      <c r="M755" s="22" t="n"/>
      <c r="N755" s="22" t="n"/>
      <c r="O755" s="22" t="n"/>
      <c r="P755" s="22" t="n"/>
      <c r="Q755" s="22" t="n"/>
      <c r="R755" s="22" t="n"/>
      <c r="S755" s="22" t="n"/>
      <c r="T755" s="22" t="n"/>
      <c r="U755" s="22" t="n"/>
      <c r="V755" s="22" t="n"/>
      <c r="W755" s="22" t="n"/>
      <c r="X755" s="22" t="n"/>
      <c r="Y755" s="22" t="n"/>
      <c r="Z755" s="22" t="n"/>
      <c r="AA755" s="22" t="n"/>
    </row>
    <row r="756" ht="11.25" customHeight="1">
      <c r="A756" s="22" t="n"/>
      <c r="B756" s="22" t="n"/>
      <c r="C756" s="22" t="n"/>
      <c r="D756" s="26" t="n"/>
      <c r="E756" s="27" t="n"/>
      <c r="F756" s="27" t="n"/>
      <c r="G756" s="22" t="n"/>
      <c r="H756" s="22" t="n"/>
      <c r="I756" s="22" t="n"/>
      <c r="J756" s="22" t="n"/>
      <c r="K756" s="22" t="n"/>
      <c r="L756" s="22" t="n"/>
      <c r="M756" s="22" t="n"/>
      <c r="N756" s="22" t="n"/>
      <c r="O756" s="22" t="n"/>
      <c r="P756" s="22" t="n"/>
      <c r="Q756" s="22" t="n"/>
      <c r="R756" s="22" t="n"/>
      <c r="S756" s="22" t="n"/>
      <c r="T756" s="22" t="n"/>
      <c r="U756" s="22" t="n"/>
      <c r="V756" s="22" t="n"/>
      <c r="W756" s="22" t="n"/>
      <c r="X756" s="22" t="n"/>
      <c r="Y756" s="22" t="n"/>
      <c r="Z756" s="22" t="n"/>
      <c r="AA756" s="22" t="n"/>
    </row>
    <row r="757" ht="11.25" customHeight="1">
      <c r="A757" s="22" t="n"/>
      <c r="B757" s="22" t="n"/>
      <c r="C757" s="22" t="n"/>
      <c r="D757" s="26" t="n"/>
      <c r="E757" s="27" t="n"/>
      <c r="F757" s="27" t="n"/>
      <c r="G757" s="22" t="n"/>
      <c r="H757" s="22" t="n"/>
      <c r="I757" s="22" t="n"/>
      <c r="J757" s="22" t="n"/>
      <c r="K757" s="22" t="n"/>
      <c r="L757" s="22" t="n"/>
      <c r="M757" s="22" t="n"/>
      <c r="N757" s="22" t="n"/>
      <c r="O757" s="22" t="n"/>
      <c r="P757" s="22" t="n"/>
      <c r="Q757" s="22" t="n"/>
      <c r="R757" s="22" t="n"/>
      <c r="S757" s="22" t="n"/>
      <c r="T757" s="22" t="n"/>
      <c r="U757" s="22" t="n"/>
      <c r="V757" s="22" t="n"/>
      <c r="W757" s="22" t="n"/>
      <c r="X757" s="22" t="n"/>
      <c r="Y757" s="22" t="n"/>
      <c r="Z757" s="22" t="n"/>
      <c r="AA757" s="22" t="n"/>
    </row>
    <row r="758" ht="11.25" customHeight="1">
      <c r="A758" s="22" t="n"/>
      <c r="B758" s="22" t="n"/>
      <c r="C758" s="22" t="n"/>
      <c r="D758" s="26" t="n"/>
      <c r="E758" s="27" t="n"/>
      <c r="F758" s="27" t="n"/>
      <c r="G758" s="22" t="n"/>
      <c r="H758" s="22" t="n"/>
      <c r="I758" s="22" t="n"/>
      <c r="J758" s="22" t="n"/>
      <c r="K758" s="22" t="n"/>
      <c r="L758" s="22" t="n"/>
      <c r="M758" s="22" t="n"/>
      <c r="N758" s="22" t="n"/>
      <c r="O758" s="22" t="n"/>
      <c r="P758" s="22" t="n"/>
      <c r="Q758" s="22" t="n"/>
      <c r="R758" s="22" t="n"/>
      <c r="S758" s="22" t="n"/>
      <c r="T758" s="22" t="n"/>
      <c r="U758" s="22" t="n"/>
      <c r="V758" s="22" t="n"/>
      <c r="W758" s="22" t="n"/>
      <c r="X758" s="22" t="n"/>
      <c r="Y758" s="22" t="n"/>
      <c r="Z758" s="22" t="n"/>
      <c r="AA758" s="22" t="n"/>
    </row>
    <row r="759" ht="11.25" customHeight="1">
      <c r="A759" s="22" t="n"/>
      <c r="B759" s="22" t="n"/>
      <c r="C759" s="22" t="n"/>
      <c r="D759" s="26" t="n"/>
      <c r="E759" s="27" t="n"/>
      <c r="F759" s="27" t="n"/>
      <c r="G759" s="22" t="n"/>
      <c r="H759" s="22" t="n"/>
      <c r="I759" s="22" t="n"/>
      <c r="J759" s="22" t="n"/>
      <c r="K759" s="22" t="n"/>
      <c r="L759" s="22" t="n"/>
      <c r="M759" s="22" t="n"/>
      <c r="N759" s="22" t="n"/>
      <c r="O759" s="22" t="n"/>
      <c r="P759" s="22" t="n"/>
      <c r="Q759" s="22" t="n"/>
      <c r="R759" s="22" t="n"/>
      <c r="S759" s="22" t="n"/>
      <c r="T759" s="22" t="n"/>
      <c r="U759" s="22" t="n"/>
      <c r="V759" s="22" t="n"/>
      <c r="W759" s="22" t="n"/>
      <c r="X759" s="22" t="n"/>
      <c r="Y759" s="22" t="n"/>
      <c r="Z759" s="22" t="n"/>
      <c r="AA759" s="22" t="n"/>
    </row>
    <row r="760" ht="11.25" customHeight="1">
      <c r="A760" s="22" t="n"/>
      <c r="B760" s="22" t="n"/>
      <c r="C760" s="22" t="n"/>
      <c r="D760" s="26" t="n"/>
      <c r="E760" s="27" t="n"/>
      <c r="F760" s="27" t="n"/>
      <c r="G760" s="22" t="n"/>
      <c r="H760" s="22" t="n"/>
      <c r="I760" s="22" t="n"/>
      <c r="J760" s="22" t="n"/>
      <c r="K760" s="22" t="n"/>
      <c r="L760" s="22" t="n"/>
      <c r="M760" s="22" t="n"/>
      <c r="N760" s="22" t="n"/>
      <c r="O760" s="22" t="n"/>
      <c r="P760" s="22" t="n"/>
      <c r="Q760" s="22" t="n"/>
      <c r="R760" s="22" t="n"/>
      <c r="S760" s="22" t="n"/>
      <c r="T760" s="22" t="n"/>
      <c r="U760" s="22" t="n"/>
      <c r="V760" s="22" t="n"/>
      <c r="W760" s="22" t="n"/>
      <c r="X760" s="22" t="n"/>
      <c r="Y760" s="22" t="n"/>
      <c r="Z760" s="22" t="n"/>
      <c r="AA760" s="22" t="n"/>
    </row>
    <row r="761" ht="11.25" customHeight="1">
      <c r="A761" s="22" t="n"/>
      <c r="B761" s="22" t="n"/>
      <c r="C761" s="22" t="n"/>
      <c r="D761" s="26" t="n"/>
      <c r="E761" s="27" t="n"/>
      <c r="F761" s="27" t="n"/>
      <c r="G761" s="22" t="n"/>
      <c r="H761" s="22" t="n"/>
      <c r="I761" s="22" t="n"/>
      <c r="J761" s="22" t="n"/>
      <c r="K761" s="22" t="n"/>
      <c r="L761" s="22" t="n"/>
      <c r="M761" s="22" t="n"/>
      <c r="N761" s="22" t="n"/>
      <c r="O761" s="22" t="n"/>
      <c r="P761" s="22" t="n"/>
      <c r="Q761" s="22" t="n"/>
      <c r="R761" s="22" t="n"/>
      <c r="S761" s="22" t="n"/>
      <c r="T761" s="22" t="n"/>
      <c r="U761" s="22" t="n"/>
      <c r="V761" s="22" t="n"/>
      <c r="W761" s="22" t="n"/>
      <c r="X761" s="22" t="n"/>
      <c r="Y761" s="22" t="n"/>
      <c r="Z761" s="22" t="n"/>
      <c r="AA761" s="22" t="n"/>
    </row>
    <row r="762" ht="11.25" customHeight="1">
      <c r="A762" s="22" t="n"/>
      <c r="B762" s="22" t="n"/>
      <c r="C762" s="22" t="n"/>
      <c r="D762" s="26" t="n"/>
      <c r="E762" s="27" t="n"/>
      <c r="F762" s="27" t="n"/>
      <c r="G762" s="22" t="n"/>
      <c r="H762" s="22" t="n"/>
      <c r="I762" s="22" t="n"/>
      <c r="J762" s="22" t="n"/>
      <c r="K762" s="22" t="n"/>
      <c r="L762" s="22" t="n"/>
      <c r="M762" s="22" t="n"/>
      <c r="N762" s="22" t="n"/>
      <c r="O762" s="22" t="n"/>
      <c r="P762" s="22" t="n"/>
      <c r="Q762" s="22" t="n"/>
      <c r="R762" s="22" t="n"/>
      <c r="S762" s="22" t="n"/>
      <c r="T762" s="22" t="n"/>
      <c r="U762" s="22" t="n"/>
      <c r="V762" s="22" t="n"/>
      <c r="W762" s="22" t="n"/>
      <c r="X762" s="22" t="n"/>
      <c r="Y762" s="22" t="n"/>
      <c r="Z762" s="22" t="n"/>
      <c r="AA762" s="22" t="n"/>
    </row>
    <row r="763" ht="11.25" customHeight="1">
      <c r="A763" s="22" t="n"/>
      <c r="B763" s="22" t="n"/>
      <c r="C763" s="22" t="n"/>
      <c r="D763" s="26" t="n"/>
      <c r="E763" s="27" t="n"/>
      <c r="F763" s="27" t="n"/>
      <c r="G763" s="22" t="n"/>
      <c r="H763" s="22" t="n"/>
      <c r="I763" s="22" t="n"/>
      <c r="J763" s="22" t="n"/>
      <c r="K763" s="22" t="n"/>
      <c r="L763" s="22" t="n"/>
      <c r="M763" s="22" t="n"/>
      <c r="N763" s="22" t="n"/>
      <c r="O763" s="22" t="n"/>
      <c r="P763" s="22" t="n"/>
      <c r="Q763" s="22" t="n"/>
      <c r="R763" s="22" t="n"/>
      <c r="S763" s="22" t="n"/>
      <c r="T763" s="22" t="n"/>
      <c r="U763" s="22" t="n"/>
      <c r="V763" s="22" t="n"/>
      <c r="W763" s="22" t="n"/>
      <c r="X763" s="22" t="n"/>
      <c r="Y763" s="22" t="n"/>
      <c r="Z763" s="22" t="n"/>
      <c r="AA763" s="22" t="n"/>
    </row>
    <row r="764" ht="11.25" customHeight="1">
      <c r="A764" s="22" t="n"/>
      <c r="B764" s="22" t="n"/>
      <c r="C764" s="22" t="n"/>
      <c r="D764" s="26" t="n"/>
      <c r="E764" s="27" t="n"/>
      <c r="F764" s="27" t="n"/>
      <c r="G764" s="22" t="n"/>
      <c r="H764" s="22" t="n"/>
      <c r="I764" s="22" t="n"/>
      <c r="J764" s="22" t="n"/>
      <c r="K764" s="22" t="n"/>
      <c r="L764" s="22" t="n"/>
      <c r="M764" s="22" t="n"/>
      <c r="N764" s="22" t="n"/>
      <c r="O764" s="22" t="n"/>
      <c r="P764" s="22" t="n"/>
      <c r="Q764" s="22" t="n"/>
      <c r="R764" s="22" t="n"/>
      <c r="S764" s="22" t="n"/>
      <c r="T764" s="22" t="n"/>
      <c r="U764" s="22" t="n"/>
      <c r="V764" s="22" t="n"/>
      <c r="W764" s="22" t="n"/>
      <c r="X764" s="22" t="n"/>
      <c r="Y764" s="22" t="n"/>
      <c r="Z764" s="22" t="n"/>
      <c r="AA764" s="22" t="n"/>
    </row>
    <row r="765" ht="11.25" customHeight="1">
      <c r="A765" s="22" t="n"/>
      <c r="B765" s="22" t="n"/>
      <c r="C765" s="22" t="n"/>
      <c r="D765" s="26" t="n"/>
      <c r="E765" s="27" t="n"/>
      <c r="F765" s="27" t="n"/>
      <c r="G765" s="22" t="n"/>
      <c r="H765" s="22" t="n"/>
      <c r="I765" s="22" t="n"/>
      <c r="J765" s="22" t="n"/>
      <c r="K765" s="22" t="n"/>
      <c r="L765" s="22" t="n"/>
      <c r="M765" s="22" t="n"/>
      <c r="N765" s="22" t="n"/>
      <c r="O765" s="22" t="n"/>
      <c r="P765" s="22" t="n"/>
      <c r="Q765" s="22" t="n"/>
      <c r="R765" s="22" t="n"/>
      <c r="S765" s="22" t="n"/>
      <c r="T765" s="22" t="n"/>
      <c r="U765" s="22" t="n"/>
      <c r="V765" s="22" t="n"/>
      <c r="W765" s="22" t="n"/>
      <c r="X765" s="22" t="n"/>
      <c r="Y765" s="22" t="n"/>
      <c r="Z765" s="22" t="n"/>
      <c r="AA765" s="22" t="n"/>
    </row>
    <row r="766" ht="11.25" customHeight="1">
      <c r="A766" s="22" t="n"/>
      <c r="B766" s="22" t="n"/>
      <c r="C766" s="22" t="n"/>
      <c r="D766" s="26" t="n"/>
      <c r="E766" s="27" t="n"/>
      <c r="F766" s="27" t="n"/>
      <c r="G766" s="22" t="n"/>
      <c r="H766" s="22" t="n"/>
      <c r="I766" s="22" t="n"/>
      <c r="J766" s="22" t="n"/>
      <c r="K766" s="22" t="n"/>
      <c r="L766" s="22" t="n"/>
      <c r="M766" s="22" t="n"/>
      <c r="N766" s="22" t="n"/>
      <c r="O766" s="22" t="n"/>
      <c r="P766" s="22" t="n"/>
      <c r="Q766" s="22" t="n"/>
      <c r="R766" s="22" t="n"/>
      <c r="S766" s="22" t="n"/>
      <c r="T766" s="22" t="n"/>
      <c r="U766" s="22" t="n"/>
      <c r="V766" s="22" t="n"/>
      <c r="W766" s="22" t="n"/>
      <c r="X766" s="22" t="n"/>
      <c r="Y766" s="22" t="n"/>
      <c r="Z766" s="22" t="n"/>
      <c r="AA766" s="22" t="n"/>
    </row>
    <row r="767" ht="11.25" customHeight="1">
      <c r="A767" s="22" t="n"/>
      <c r="B767" s="22" t="n"/>
      <c r="C767" s="22" t="n"/>
      <c r="D767" s="26" t="n"/>
      <c r="E767" s="27" t="n"/>
      <c r="F767" s="27" t="n"/>
      <c r="G767" s="22" t="n"/>
      <c r="H767" s="22" t="n"/>
      <c r="I767" s="22" t="n"/>
      <c r="J767" s="22" t="n"/>
      <c r="K767" s="22" t="n"/>
      <c r="L767" s="22" t="n"/>
      <c r="M767" s="22" t="n"/>
      <c r="N767" s="22" t="n"/>
      <c r="O767" s="22" t="n"/>
      <c r="P767" s="22" t="n"/>
      <c r="Q767" s="22" t="n"/>
      <c r="R767" s="22" t="n"/>
      <c r="S767" s="22" t="n"/>
      <c r="T767" s="22" t="n"/>
      <c r="U767" s="22" t="n"/>
      <c r="V767" s="22" t="n"/>
      <c r="W767" s="22" t="n"/>
      <c r="X767" s="22" t="n"/>
      <c r="Y767" s="22" t="n"/>
      <c r="Z767" s="22" t="n"/>
      <c r="AA767" s="22" t="n"/>
    </row>
    <row r="768" ht="11.25" customHeight="1">
      <c r="A768" s="22" t="n"/>
      <c r="B768" s="22" t="n"/>
      <c r="C768" s="22" t="n"/>
      <c r="D768" s="26" t="n"/>
      <c r="E768" s="27" t="n"/>
      <c r="F768" s="27" t="n"/>
      <c r="G768" s="22" t="n"/>
      <c r="H768" s="22" t="n"/>
      <c r="I768" s="22" t="n"/>
      <c r="J768" s="22" t="n"/>
      <c r="K768" s="22" t="n"/>
      <c r="L768" s="22" t="n"/>
      <c r="M768" s="22" t="n"/>
      <c r="N768" s="22" t="n"/>
      <c r="O768" s="22" t="n"/>
      <c r="P768" s="22" t="n"/>
      <c r="Q768" s="22" t="n"/>
      <c r="R768" s="22" t="n"/>
      <c r="S768" s="22" t="n"/>
      <c r="T768" s="22" t="n"/>
      <c r="U768" s="22" t="n"/>
      <c r="V768" s="22" t="n"/>
      <c r="W768" s="22" t="n"/>
      <c r="X768" s="22" t="n"/>
      <c r="Y768" s="22" t="n"/>
      <c r="Z768" s="22" t="n"/>
      <c r="AA768" s="22" t="n"/>
    </row>
    <row r="769" ht="11.25" customHeight="1">
      <c r="A769" s="22" t="n"/>
      <c r="B769" s="22" t="n"/>
      <c r="C769" s="22" t="n"/>
      <c r="D769" s="26" t="n"/>
      <c r="E769" s="27" t="n"/>
      <c r="F769" s="27" t="n"/>
      <c r="G769" s="22" t="n"/>
      <c r="H769" s="22" t="n"/>
      <c r="I769" s="22" t="n"/>
      <c r="J769" s="22" t="n"/>
      <c r="K769" s="22" t="n"/>
      <c r="L769" s="22" t="n"/>
      <c r="M769" s="22" t="n"/>
      <c r="N769" s="22" t="n"/>
      <c r="O769" s="22" t="n"/>
      <c r="P769" s="22" t="n"/>
      <c r="Q769" s="22" t="n"/>
      <c r="R769" s="22" t="n"/>
      <c r="S769" s="22" t="n"/>
      <c r="T769" s="22" t="n"/>
      <c r="U769" s="22" t="n"/>
      <c r="V769" s="22" t="n"/>
      <c r="W769" s="22" t="n"/>
      <c r="X769" s="22" t="n"/>
      <c r="Y769" s="22" t="n"/>
      <c r="Z769" s="22" t="n"/>
      <c r="AA769" s="22" t="n"/>
    </row>
    <row r="770" ht="11.25" customHeight="1">
      <c r="A770" s="22" t="n"/>
      <c r="B770" s="22" t="n"/>
      <c r="C770" s="22" t="n"/>
      <c r="D770" s="26" t="n"/>
      <c r="E770" s="27" t="n"/>
      <c r="F770" s="27" t="n"/>
      <c r="G770" s="22" t="n"/>
      <c r="H770" s="22" t="n"/>
      <c r="I770" s="22" t="n"/>
      <c r="J770" s="22" t="n"/>
      <c r="K770" s="22" t="n"/>
      <c r="L770" s="22" t="n"/>
      <c r="M770" s="22" t="n"/>
      <c r="N770" s="22" t="n"/>
      <c r="O770" s="22" t="n"/>
      <c r="P770" s="22" t="n"/>
      <c r="Q770" s="22" t="n"/>
      <c r="R770" s="22" t="n"/>
      <c r="S770" s="22" t="n"/>
      <c r="T770" s="22" t="n"/>
      <c r="U770" s="22" t="n"/>
      <c r="V770" s="22" t="n"/>
      <c r="W770" s="22" t="n"/>
      <c r="X770" s="22" t="n"/>
      <c r="Y770" s="22" t="n"/>
      <c r="Z770" s="22" t="n"/>
      <c r="AA770" s="22" t="n"/>
    </row>
    <row r="771" ht="11.25" customHeight="1">
      <c r="A771" s="22" t="n"/>
      <c r="B771" s="22" t="n"/>
      <c r="C771" s="22" t="n"/>
      <c r="D771" s="26" t="n"/>
      <c r="E771" s="27" t="n"/>
      <c r="F771" s="27" t="n"/>
      <c r="G771" s="22" t="n"/>
      <c r="H771" s="22" t="n"/>
      <c r="I771" s="22" t="n"/>
      <c r="J771" s="22" t="n"/>
      <c r="K771" s="22" t="n"/>
      <c r="L771" s="22" t="n"/>
      <c r="M771" s="22" t="n"/>
      <c r="N771" s="22" t="n"/>
      <c r="O771" s="22" t="n"/>
      <c r="P771" s="22" t="n"/>
      <c r="Q771" s="22" t="n"/>
      <c r="R771" s="22" t="n"/>
      <c r="S771" s="22" t="n"/>
      <c r="T771" s="22" t="n"/>
      <c r="U771" s="22" t="n"/>
      <c r="V771" s="22" t="n"/>
      <c r="W771" s="22" t="n"/>
      <c r="X771" s="22" t="n"/>
      <c r="Y771" s="22" t="n"/>
      <c r="Z771" s="22" t="n"/>
      <c r="AA771" s="22" t="n"/>
    </row>
    <row r="772" ht="11.25" customHeight="1">
      <c r="A772" s="22" t="n"/>
      <c r="B772" s="22" t="n"/>
      <c r="C772" s="22" t="n"/>
      <c r="D772" s="26" t="n"/>
      <c r="E772" s="27" t="n"/>
      <c r="F772" s="27" t="n"/>
      <c r="G772" s="22" t="n"/>
      <c r="H772" s="22" t="n"/>
      <c r="I772" s="22" t="n"/>
      <c r="J772" s="22" t="n"/>
      <c r="K772" s="22" t="n"/>
      <c r="L772" s="22" t="n"/>
      <c r="M772" s="22" t="n"/>
      <c r="N772" s="22" t="n"/>
      <c r="O772" s="22" t="n"/>
      <c r="P772" s="22" t="n"/>
      <c r="Q772" s="22" t="n"/>
      <c r="R772" s="22" t="n"/>
      <c r="S772" s="22" t="n"/>
      <c r="T772" s="22" t="n"/>
      <c r="U772" s="22" t="n"/>
      <c r="V772" s="22" t="n"/>
      <c r="W772" s="22" t="n"/>
      <c r="X772" s="22" t="n"/>
      <c r="Y772" s="22" t="n"/>
      <c r="Z772" s="22" t="n"/>
      <c r="AA772" s="22" t="n"/>
    </row>
    <row r="773" ht="11.25" customHeight="1">
      <c r="A773" s="22" t="n"/>
      <c r="B773" s="22" t="n"/>
      <c r="C773" s="22" t="n"/>
      <c r="D773" s="26" t="n"/>
      <c r="E773" s="27" t="n"/>
      <c r="F773" s="27" t="n"/>
      <c r="G773" s="22" t="n"/>
      <c r="H773" s="22" t="n"/>
      <c r="I773" s="22" t="n"/>
      <c r="J773" s="22" t="n"/>
      <c r="K773" s="22" t="n"/>
      <c r="L773" s="22" t="n"/>
      <c r="M773" s="22" t="n"/>
      <c r="N773" s="22" t="n"/>
      <c r="O773" s="22" t="n"/>
      <c r="P773" s="22" t="n"/>
      <c r="Q773" s="22" t="n"/>
      <c r="R773" s="22" t="n"/>
      <c r="S773" s="22" t="n"/>
      <c r="T773" s="22" t="n"/>
      <c r="U773" s="22" t="n"/>
      <c r="V773" s="22" t="n"/>
      <c r="W773" s="22" t="n"/>
      <c r="X773" s="22" t="n"/>
      <c r="Y773" s="22" t="n"/>
      <c r="Z773" s="22" t="n"/>
      <c r="AA773" s="22" t="n"/>
    </row>
    <row r="774" ht="11.25" customHeight="1">
      <c r="A774" s="22" t="n"/>
      <c r="B774" s="22" t="n"/>
      <c r="C774" s="22" t="n"/>
      <c r="D774" s="26" t="n"/>
      <c r="E774" s="27" t="n"/>
      <c r="F774" s="27" t="n"/>
      <c r="G774" s="22" t="n"/>
      <c r="H774" s="22" t="n"/>
      <c r="I774" s="22" t="n"/>
      <c r="J774" s="22" t="n"/>
      <c r="K774" s="22" t="n"/>
      <c r="L774" s="22" t="n"/>
      <c r="M774" s="22" t="n"/>
      <c r="N774" s="22" t="n"/>
      <c r="O774" s="22" t="n"/>
      <c r="P774" s="22" t="n"/>
      <c r="Q774" s="22" t="n"/>
      <c r="R774" s="22" t="n"/>
      <c r="S774" s="22" t="n"/>
      <c r="T774" s="22" t="n"/>
      <c r="U774" s="22" t="n"/>
      <c r="V774" s="22" t="n"/>
      <c r="W774" s="22" t="n"/>
      <c r="X774" s="22" t="n"/>
      <c r="Y774" s="22" t="n"/>
      <c r="Z774" s="22" t="n"/>
      <c r="AA774" s="22" t="n"/>
    </row>
    <row r="775" ht="11.25" customHeight="1">
      <c r="A775" s="22" t="n"/>
      <c r="B775" s="22" t="n"/>
      <c r="C775" s="22" t="n"/>
      <c r="D775" s="26" t="n"/>
      <c r="E775" s="27" t="n"/>
      <c r="F775" s="27" t="n"/>
      <c r="G775" s="22" t="n"/>
      <c r="H775" s="22" t="n"/>
      <c r="I775" s="22" t="n"/>
      <c r="J775" s="22" t="n"/>
      <c r="K775" s="22" t="n"/>
      <c r="L775" s="22" t="n"/>
      <c r="M775" s="22" t="n"/>
      <c r="N775" s="22" t="n"/>
      <c r="O775" s="22" t="n"/>
      <c r="P775" s="22" t="n"/>
      <c r="Q775" s="22" t="n"/>
      <c r="R775" s="22" t="n"/>
      <c r="S775" s="22" t="n"/>
      <c r="T775" s="22" t="n"/>
      <c r="U775" s="22" t="n"/>
      <c r="V775" s="22" t="n"/>
      <c r="W775" s="22" t="n"/>
      <c r="X775" s="22" t="n"/>
      <c r="Y775" s="22" t="n"/>
      <c r="Z775" s="22" t="n"/>
      <c r="AA775" s="22" t="n"/>
    </row>
    <row r="776" ht="11.25" customHeight="1">
      <c r="A776" s="22" t="n"/>
      <c r="B776" s="22" t="n"/>
      <c r="C776" s="22" t="n"/>
      <c r="D776" s="26" t="n"/>
      <c r="E776" s="27" t="n"/>
      <c r="F776" s="27" t="n"/>
      <c r="G776" s="22" t="n"/>
      <c r="H776" s="22" t="n"/>
      <c r="I776" s="22" t="n"/>
      <c r="J776" s="22" t="n"/>
      <c r="K776" s="22" t="n"/>
      <c r="L776" s="22" t="n"/>
      <c r="M776" s="22" t="n"/>
      <c r="N776" s="22" t="n"/>
      <c r="O776" s="22" t="n"/>
      <c r="P776" s="22" t="n"/>
      <c r="Q776" s="22" t="n"/>
      <c r="R776" s="22" t="n"/>
      <c r="S776" s="22" t="n"/>
      <c r="T776" s="22" t="n"/>
      <c r="U776" s="22" t="n"/>
      <c r="V776" s="22" t="n"/>
      <c r="W776" s="22" t="n"/>
      <c r="X776" s="22" t="n"/>
      <c r="Y776" s="22" t="n"/>
      <c r="Z776" s="22" t="n"/>
      <c r="AA776" s="22" t="n"/>
    </row>
    <row r="777" ht="11.25" customHeight="1">
      <c r="A777" s="22" t="n"/>
      <c r="B777" s="22" t="n"/>
      <c r="C777" s="22" t="n"/>
      <c r="D777" s="26" t="n"/>
      <c r="E777" s="27" t="n"/>
      <c r="F777" s="27" t="n"/>
      <c r="G777" s="22" t="n"/>
      <c r="H777" s="22" t="n"/>
      <c r="I777" s="22" t="n"/>
      <c r="J777" s="22" t="n"/>
      <c r="K777" s="22" t="n"/>
      <c r="L777" s="22" t="n"/>
      <c r="M777" s="22" t="n"/>
      <c r="N777" s="22" t="n"/>
      <c r="O777" s="22" t="n"/>
      <c r="P777" s="22" t="n"/>
      <c r="Q777" s="22" t="n"/>
      <c r="R777" s="22" t="n"/>
      <c r="S777" s="22" t="n"/>
      <c r="T777" s="22" t="n"/>
      <c r="U777" s="22" t="n"/>
      <c r="V777" s="22" t="n"/>
      <c r="W777" s="22" t="n"/>
      <c r="X777" s="22" t="n"/>
      <c r="Y777" s="22" t="n"/>
      <c r="Z777" s="22" t="n"/>
      <c r="AA777" s="22" t="n"/>
    </row>
    <row r="778" ht="11.25" customHeight="1">
      <c r="A778" s="22" t="n"/>
      <c r="B778" s="22" t="n"/>
      <c r="C778" s="22" t="n"/>
      <c r="D778" s="26" t="n"/>
      <c r="E778" s="27" t="n"/>
      <c r="F778" s="27" t="n"/>
      <c r="G778" s="22" t="n"/>
      <c r="H778" s="22" t="n"/>
      <c r="I778" s="22" t="n"/>
      <c r="J778" s="22" t="n"/>
      <c r="K778" s="22" t="n"/>
      <c r="L778" s="22" t="n"/>
      <c r="M778" s="22" t="n"/>
      <c r="N778" s="22" t="n"/>
      <c r="O778" s="22" t="n"/>
      <c r="P778" s="22" t="n"/>
      <c r="Q778" s="22" t="n"/>
      <c r="R778" s="22" t="n"/>
      <c r="S778" s="22" t="n"/>
      <c r="T778" s="22" t="n"/>
      <c r="U778" s="22" t="n"/>
      <c r="V778" s="22" t="n"/>
      <c r="W778" s="22" t="n"/>
      <c r="X778" s="22" t="n"/>
      <c r="Y778" s="22" t="n"/>
      <c r="Z778" s="22" t="n"/>
      <c r="AA778" s="22" t="n"/>
    </row>
    <row r="779" ht="11.25" customHeight="1">
      <c r="A779" s="22" t="n"/>
      <c r="B779" s="22" t="n"/>
      <c r="C779" s="22" t="n"/>
      <c r="D779" s="26" t="n"/>
      <c r="E779" s="27" t="n"/>
      <c r="F779" s="27" t="n"/>
      <c r="G779" s="22" t="n"/>
      <c r="H779" s="22" t="n"/>
      <c r="I779" s="22" t="n"/>
      <c r="J779" s="22" t="n"/>
      <c r="K779" s="22" t="n"/>
      <c r="L779" s="22" t="n"/>
      <c r="M779" s="22" t="n"/>
      <c r="N779" s="22" t="n"/>
      <c r="O779" s="22" t="n"/>
      <c r="P779" s="22" t="n"/>
      <c r="Q779" s="22" t="n"/>
      <c r="R779" s="22" t="n"/>
      <c r="S779" s="22" t="n"/>
      <c r="T779" s="22" t="n"/>
      <c r="U779" s="22" t="n"/>
      <c r="V779" s="22" t="n"/>
      <c r="W779" s="22" t="n"/>
      <c r="X779" s="22" t="n"/>
      <c r="Y779" s="22" t="n"/>
      <c r="Z779" s="22" t="n"/>
      <c r="AA779" s="22" t="n"/>
    </row>
    <row r="780" ht="11.25" customHeight="1">
      <c r="A780" s="22" t="n"/>
      <c r="B780" s="22" t="n"/>
      <c r="C780" s="22" t="n"/>
      <c r="D780" s="26" t="n"/>
      <c r="E780" s="27" t="n"/>
      <c r="F780" s="27" t="n"/>
      <c r="G780" s="22" t="n"/>
      <c r="H780" s="22" t="n"/>
      <c r="I780" s="22" t="n"/>
      <c r="J780" s="22" t="n"/>
      <c r="K780" s="22" t="n"/>
      <c r="L780" s="22" t="n"/>
      <c r="M780" s="22" t="n"/>
      <c r="N780" s="22" t="n"/>
      <c r="O780" s="22" t="n"/>
      <c r="P780" s="22" t="n"/>
      <c r="Q780" s="22" t="n"/>
      <c r="R780" s="22" t="n"/>
      <c r="S780" s="22" t="n"/>
      <c r="T780" s="22" t="n"/>
      <c r="U780" s="22" t="n"/>
      <c r="V780" s="22" t="n"/>
      <c r="W780" s="22" t="n"/>
      <c r="X780" s="22" t="n"/>
      <c r="Y780" s="22" t="n"/>
      <c r="Z780" s="22" t="n"/>
      <c r="AA780" s="22" t="n"/>
    </row>
    <row r="781" ht="11.25" customHeight="1">
      <c r="A781" s="22" t="n"/>
      <c r="B781" s="22" t="n"/>
      <c r="C781" s="22" t="n"/>
      <c r="D781" s="26" t="n"/>
      <c r="E781" s="27" t="n"/>
      <c r="F781" s="27" t="n"/>
      <c r="G781" s="22" t="n"/>
      <c r="H781" s="22" t="n"/>
      <c r="I781" s="22" t="n"/>
      <c r="J781" s="22" t="n"/>
      <c r="K781" s="22" t="n"/>
      <c r="L781" s="22" t="n"/>
      <c r="M781" s="22" t="n"/>
      <c r="N781" s="22" t="n"/>
      <c r="O781" s="22" t="n"/>
      <c r="P781" s="22" t="n"/>
      <c r="Q781" s="22" t="n"/>
      <c r="R781" s="22" t="n"/>
      <c r="S781" s="22" t="n"/>
      <c r="T781" s="22" t="n"/>
      <c r="U781" s="22" t="n"/>
      <c r="V781" s="22" t="n"/>
      <c r="W781" s="22" t="n"/>
      <c r="X781" s="22" t="n"/>
      <c r="Y781" s="22" t="n"/>
      <c r="Z781" s="22" t="n"/>
      <c r="AA781" s="22" t="n"/>
    </row>
    <row r="782" ht="11.25" customHeight="1">
      <c r="A782" s="22" t="n"/>
      <c r="B782" s="22" t="n"/>
      <c r="C782" s="22" t="n"/>
      <c r="D782" s="26" t="n"/>
      <c r="E782" s="27" t="n"/>
      <c r="F782" s="27" t="n"/>
      <c r="G782" s="22" t="n"/>
      <c r="H782" s="22" t="n"/>
      <c r="I782" s="22" t="n"/>
      <c r="J782" s="22" t="n"/>
      <c r="K782" s="22" t="n"/>
      <c r="L782" s="22" t="n"/>
      <c r="M782" s="22" t="n"/>
      <c r="N782" s="22" t="n"/>
      <c r="O782" s="22" t="n"/>
      <c r="P782" s="22" t="n"/>
      <c r="Q782" s="22" t="n"/>
      <c r="R782" s="22" t="n"/>
      <c r="S782" s="22" t="n"/>
      <c r="T782" s="22" t="n"/>
      <c r="U782" s="22" t="n"/>
      <c r="V782" s="22" t="n"/>
      <c r="W782" s="22" t="n"/>
      <c r="X782" s="22" t="n"/>
      <c r="Y782" s="22" t="n"/>
      <c r="Z782" s="22" t="n"/>
      <c r="AA782" s="22" t="n"/>
    </row>
    <row r="783" ht="11.25" customHeight="1">
      <c r="A783" s="22" t="n"/>
      <c r="B783" s="22" t="n"/>
      <c r="C783" s="22" t="n"/>
      <c r="D783" s="26" t="n"/>
      <c r="E783" s="27" t="n"/>
      <c r="F783" s="27" t="n"/>
      <c r="G783" s="22" t="n"/>
      <c r="H783" s="22" t="n"/>
      <c r="I783" s="22" t="n"/>
      <c r="J783" s="22" t="n"/>
      <c r="K783" s="22" t="n"/>
      <c r="L783" s="22" t="n"/>
      <c r="M783" s="22" t="n"/>
      <c r="N783" s="22" t="n"/>
      <c r="O783" s="22" t="n"/>
      <c r="P783" s="22" t="n"/>
      <c r="Q783" s="22" t="n"/>
      <c r="R783" s="22" t="n"/>
      <c r="S783" s="22" t="n"/>
      <c r="T783" s="22" t="n"/>
      <c r="U783" s="22" t="n"/>
      <c r="V783" s="22" t="n"/>
      <c r="W783" s="22" t="n"/>
      <c r="X783" s="22" t="n"/>
      <c r="Y783" s="22" t="n"/>
      <c r="Z783" s="22" t="n"/>
      <c r="AA783" s="22" t="n"/>
    </row>
    <row r="784" ht="11.25" customHeight="1">
      <c r="A784" s="22" t="n"/>
      <c r="B784" s="22" t="n"/>
      <c r="C784" s="22" t="n"/>
      <c r="D784" s="26" t="n"/>
      <c r="E784" s="27" t="n"/>
      <c r="F784" s="27" t="n"/>
      <c r="G784" s="22" t="n"/>
      <c r="H784" s="22" t="n"/>
      <c r="I784" s="22" t="n"/>
      <c r="J784" s="22" t="n"/>
      <c r="K784" s="22" t="n"/>
      <c r="L784" s="22" t="n"/>
      <c r="M784" s="22" t="n"/>
      <c r="N784" s="22" t="n"/>
      <c r="O784" s="22" t="n"/>
      <c r="P784" s="22" t="n"/>
      <c r="Q784" s="22" t="n"/>
      <c r="R784" s="22" t="n"/>
      <c r="S784" s="22" t="n"/>
      <c r="T784" s="22" t="n"/>
      <c r="U784" s="22" t="n"/>
      <c r="V784" s="22" t="n"/>
      <c r="W784" s="22" t="n"/>
      <c r="X784" s="22" t="n"/>
      <c r="Y784" s="22" t="n"/>
      <c r="Z784" s="22" t="n"/>
      <c r="AA784" s="22" t="n"/>
    </row>
    <row r="785" ht="11.25" customHeight="1">
      <c r="A785" s="22" t="n"/>
      <c r="B785" s="22" t="n"/>
      <c r="C785" s="22" t="n"/>
      <c r="D785" s="26" t="n"/>
      <c r="E785" s="27" t="n"/>
      <c r="F785" s="27" t="n"/>
      <c r="G785" s="22" t="n"/>
      <c r="H785" s="22" t="n"/>
      <c r="I785" s="22" t="n"/>
      <c r="J785" s="22" t="n"/>
      <c r="K785" s="22" t="n"/>
      <c r="L785" s="22" t="n"/>
      <c r="M785" s="22" t="n"/>
      <c r="N785" s="22" t="n"/>
      <c r="O785" s="22" t="n"/>
      <c r="P785" s="22" t="n"/>
      <c r="Q785" s="22" t="n"/>
      <c r="R785" s="22" t="n"/>
      <c r="S785" s="22" t="n"/>
      <c r="T785" s="22" t="n"/>
      <c r="U785" s="22" t="n"/>
      <c r="V785" s="22" t="n"/>
      <c r="W785" s="22" t="n"/>
      <c r="X785" s="22" t="n"/>
      <c r="Y785" s="22" t="n"/>
      <c r="Z785" s="22" t="n"/>
      <c r="AA785" s="22" t="n"/>
    </row>
    <row r="786" ht="11.25" customHeight="1">
      <c r="A786" s="22" t="n"/>
      <c r="B786" s="22" t="n"/>
      <c r="C786" s="22" t="n"/>
      <c r="D786" s="26" t="n"/>
      <c r="E786" s="27" t="n"/>
      <c r="F786" s="27" t="n"/>
      <c r="G786" s="22" t="n"/>
      <c r="H786" s="22" t="n"/>
      <c r="I786" s="22" t="n"/>
      <c r="J786" s="22" t="n"/>
      <c r="K786" s="22" t="n"/>
      <c r="L786" s="22" t="n"/>
      <c r="M786" s="22" t="n"/>
      <c r="N786" s="22" t="n"/>
      <c r="O786" s="22" t="n"/>
      <c r="P786" s="22" t="n"/>
      <c r="Q786" s="22" t="n"/>
      <c r="R786" s="22" t="n"/>
      <c r="S786" s="22" t="n"/>
      <c r="T786" s="22" t="n"/>
      <c r="U786" s="22" t="n"/>
      <c r="V786" s="22" t="n"/>
      <c r="W786" s="22" t="n"/>
      <c r="X786" s="22" t="n"/>
      <c r="Y786" s="22" t="n"/>
      <c r="Z786" s="22" t="n"/>
      <c r="AA786" s="22" t="n"/>
    </row>
    <row r="787" ht="11.25" customHeight="1">
      <c r="A787" s="22" t="n"/>
      <c r="B787" s="22" t="n"/>
      <c r="C787" s="22" t="n"/>
      <c r="D787" s="26" t="n"/>
      <c r="E787" s="27" t="n"/>
      <c r="F787" s="27" t="n"/>
      <c r="G787" s="22" t="n"/>
      <c r="H787" s="22" t="n"/>
      <c r="I787" s="22" t="n"/>
      <c r="J787" s="22" t="n"/>
      <c r="K787" s="22" t="n"/>
      <c r="L787" s="22" t="n"/>
      <c r="M787" s="22" t="n"/>
      <c r="N787" s="22" t="n"/>
      <c r="O787" s="22" t="n"/>
      <c r="P787" s="22" t="n"/>
      <c r="Q787" s="22" t="n"/>
      <c r="R787" s="22" t="n"/>
      <c r="S787" s="22" t="n"/>
      <c r="T787" s="22" t="n"/>
      <c r="U787" s="22" t="n"/>
      <c r="V787" s="22" t="n"/>
      <c r="W787" s="22" t="n"/>
      <c r="X787" s="22" t="n"/>
      <c r="Y787" s="22" t="n"/>
      <c r="Z787" s="22" t="n"/>
      <c r="AA787" s="22" t="n"/>
    </row>
    <row r="788" ht="11.25" customHeight="1">
      <c r="A788" s="22" t="n"/>
      <c r="B788" s="22" t="n"/>
      <c r="C788" s="22" t="n"/>
      <c r="D788" s="26" t="n"/>
      <c r="E788" s="27" t="n"/>
      <c r="F788" s="27" t="n"/>
      <c r="G788" s="22" t="n"/>
      <c r="H788" s="22" t="n"/>
      <c r="I788" s="22" t="n"/>
      <c r="J788" s="22" t="n"/>
      <c r="K788" s="22" t="n"/>
      <c r="L788" s="22" t="n"/>
      <c r="M788" s="22" t="n"/>
      <c r="N788" s="22" t="n"/>
      <c r="O788" s="22" t="n"/>
      <c r="P788" s="22" t="n"/>
      <c r="Q788" s="22" t="n"/>
      <c r="R788" s="22" t="n"/>
      <c r="S788" s="22" t="n"/>
      <c r="T788" s="22" t="n"/>
      <c r="U788" s="22" t="n"/>
      <c r="V788" s="22" t="n"/>
      <c r="W788" s="22" t="n"/>
      <c r="X788" s="22" t="n"/>
      <c r="Y788" s="22" t="n"/>
      <c r="Z788" s="22" t="n"/>
      <c r="AA788" s="22" t="n"/>
    </row>
    <row r="789" ht="11.25" customHeight="1">
      <c r="A789" s="22" t="n"/>
      <c r="B789" s="22" t="n"/>
      <c r="C789" s="22" t="n"/>
      <c r="D789" s="26" t="n"/>
      <c r="E789" s="27" t="n"/>
      <c r="F789" s="27" t="n"/>
      <c r="G789" s="22" t="n"/>
      <c r="H789" s="22" t="n"/>
      <c r="I789" s="22" t="n"/>
      <c r="J789" s="22" t="n"/>
      <c r="K789" s="22" t="n"/>
      <c r="L789" s="22" t="n"/>
      <c r="M789" s="22" t="n"/>
      <c r="N789" s="22" t="n"/>
      <c r="O789" s="22" t="n"/>
      <c r="P789" s="22" t="n"/>
      <c r="Q789" s="22" t="n"/>
      <c r="R789" s="22" t="n"/>
      <c r="S789" s="22" t="n"/>
      <c r="T789" s="22" t="n"/>
      <c r="U789" s="22" t="n"/>
      <c r="V789" s="22" t="n"/>
      <c r="W789" s="22" t="n"/>
      <c r="X789" s="22" t="n"/>
      <c r="Y789" s="22" t="n"/>
      <c r="Z789" s="22" t="n"/>
      <c r="AA789" s="22" t="n"/>
    </row>
    <row r="790" ht="11.25" customHeight="1">
      <c r="A790" s="22" t="n"/>
      <c r="B790" s="22" t="n"/>
      <c r="C790" s="22" t="n"/>
      <c r="D790" s="26" t="n"/>
      <c r="E790" s="27" t="n"/>
      <c r="F790" s="27" t="n"/>
      <c r="G790" s="22" t="n"/>
      <c r="H790" s="22" t="n"/>
      <c r="I790" s="22" t="n"/>
      <c r="J790" s="22" t="n"/>
      <c r="K790" s="22" t="n"/>
      <c r="L790" s="22" t="n"/>
      <c r="M790" s="22" t="n"/>
      <c r="N790" s="22" t="n"/>
      <c r="O790" s="22" t="n"/>
      <c r="P790" s="22" t="n"/>
      <c r="Q790" s="22" t="n"/>
      <c r="R790" s="22" t="n"/>
      <c r="S790" s="22" t="n"/>
      <c r="T790" s="22" t="n"/>
      <c r="U790" s="22" t="n"/>
      <c r="V790" s="22" t="n"/>
      <c r="W790" s="22" t="n"/>
      <c r="X790" s="22" t="n"/>
      <c r="Y790" s="22" t="n"/>
      <c r="Z790" s="22" t="n"/>
      <c r="AA790" s="22" t="n"/>
    </row>
    <row r="791" ht="11.25" customHeight="1">
      <c r="A791" s="22" t="n"/>
      <c r="B791" s="22" t="n"/>
      <c r="C791" s="22" t="n"/>
      <c r="D791" s="26" t="n"/>
      <c r="E791" s="27" t="n"/>
      <c r="F791" s="27" t="n"/>
      <c r="G791" s="22" t="n"/>
      <c r="H791" s="22" t="n"/>
      <c r="I791" s="22" t="n"/>
      <c r="J791" s="22" t="n"/>
      <c r="K791" s="22" t="n"/>
      <c r="L791" s="22" t="n"/>
      <c r="M791" s="22" t="n"/>
      <c r="N791" s="22" t="n"/>
      <c r="O791" s="22" t="n"/>
      <c r="P791" s="22" t="n"/>
      <c r="Q791" s="22" t="n"/>
      <c r="R791" s="22" t="n"/>
      <c r="S791" s="22" t="n"/>
      <c r="T791" s="22" t="n"/>
      <c r="U791" s="22" t="n"/>
      <c r="V791" s="22" t="n"/>
      <c r="W791" s="22" t="n"/>
      <c r="X791" s="22" t="n"/>
      <c r="Y791" s="22" t="n"/>
      <c r="Z791" s="22" t="n"/>
      <c r="AA791" s="22" t="n"/>
    </row>
    <row r="792" ht="11.25" customHeight="1">
      <c r="A792" s="22" t="n"/>
      <c r="B792" s="22" t="n"/>
      <c r="C792" s="22" t="n"/>
      <c r="D792" s="26" t="n"/>
      <c r="E792" s="27" t="n"/>
      <c r="F792" s="27" t="n"/>
      <c r="G792" s="22" t="n"/>
      <c r="H792" s="22" t="n"/>
      <c r="I792" s="22" t="n"/>
      <c r="J792" s="22" t="n"/>
      <c r="K792" s="22" t="n"/>
      <c r="L792" s="22" t="n"/>
      <c r="M792" s="22" t="n"/>
      <c r="N792" s="22" t="n"/>
      <c r="O792" s="22" t="n"/>
      <c r="P792" s="22" t="n"/>
      <c r="Q792" s="22" t="n"/>
      <c r="R792" s="22" t="n"/>
      <c r="S792" s="22" t="n"/>
      <c r="T792" s="22" t="n"/>
      <c r="U792" s="22" t="n"/>
      <c r="V792" s="22" t="n"/>
      <c r="W792" s="22" t="n"/>
      <c r="X792" s="22" t="n"/>
      <c r="Y792" s="22" t="n"/>
      <c r="Z792" s="22" t="n"/>
      <c r="AA792" s="22" t="n"/>
    </row>
    <row r="793" ht="11.25" customHeight="1">
      <c r="A793" s="22" t="n"/>
      <c r="B793" s="22" t="n"/>
      <c r="C793" s="22" t="n"/>
      <c r="D793" s="26" t="n"/>
      <c r="E793" s="27" t="n"/>
      <c r="F793" s="27" t="n"/>
      <c r="G793" s="22" t="n"/>
      <c r="H793" s="22" t="n"/>
      <c r="I793" s="22" t="n"/>
      <c r="J793" s="22" t="n"/>
      <c r="K793" s="22" t="n"/>
      <c r="L793" s="22" t="n"/>
      <c r="M793" s="22" t="n"/>
      <c r="N793" s="22" t="n"/>
      <c r="O793" s="22" t="n"/>
      <c r="P793" s="22" t="n"/>
      <c r="Q793" s="22" t="n"/>
      <c r="R793" s="22" t="n"/>
      <c r="S793" s="22" t="n"/>
      <c r="T793" s="22" t="n"/>
      <c r="U793" s="22" t="n"/>
      <c r="V793" s="22" t="n"/>
      <c r="W793" s="22" t="n"/>
      <c r="X793" s="22" t="n"/>
      <c r="Y793" s="22" t="n"/>
      <c r="Z793" s="22" t="n"/>
      <c r="AA793" s="22" t="n"/>
    </row>
    <row r="794" ht="11.25" customHeight="1">
      <c r="A794" s="22" t="n"/>
      <c r="B794" s="22" t="n"/>
      <c r="C794" s="22" t="n"/>
      <c r="D794" s="26" t="n"/>
      <c r="E794" s="27" t="n"/>
      <c r="F794" s="27" t="n"/>
      <c r="G794" s="22" t="n"/>
      <c r="H794" s="22" t="n"/>
      <c r="I794" s="22" t="n"/>
      <c r="J794" s="22" t="n"/>
      <c r="K794" s="22" t="n"/>
      <c r="L794" s="22" t="n"/>
      <c r="M794" s="22" t="n"/>
      <c r="N794" s="22" t="n"/>
      <c r="O794" s="22" t="n"/>
      <c r="P794" s="22" t="n"/>
      <c r="Q794" s="22" t="n"/>
      <c r="R794" s="22" t="n"/>
      <c r="S794" s="22" t="n"/>
      <c r="T794" s="22" t="n"/>
      <c r="U794" s="22" t="n"/>
      <c r="V794" s="22" t="n"/>
      <c r="W794" s="22" t="n"/>
      <c r="X794" s="22" t="n"/>
      <c r="Y794" s="22" t="n"/>
      <c r="Z794" s="22" t="n"/>
      <c r="AA794" s="22" t="n"/>
    </row>
    <row r="795" ht="11.25" customHeight="1">
      <c r="A795" s="22" t="n"/>
      <c r="B795" s="22" t="n"/>
      <c r="C795" s="22" t="n"/>
      <c r="D795" s="26" t="n"/>
      <c r="E795" s="27" t="n"/>
      <c r="F795" s="27" t="n"/>
      <c r="G795" s="22" t="n"/>
      <c r="H795" s="22" t="n"/>
      <c r="I795" s="22" t="n"/>
      <c r="J795" s="22" t="n"/>
      <c r="K795" s="22" t="n"/>
      <c r="L795" s="22" t="n"/>
      <c r="M795" s="22" t="n"/>
      <c r="N795" s="22" t="n"/>
      <c r="O795" s="22" t="n"/>
      <c r="P795" s="22" t="n"/>
      <c r="Q795" s="22" t="n"/>
      <c r="R795" s="22" t="n"/>
      <c r="S795" s="22" t="n"/>
      <c r="T795" s="22" t="n"/>
      <c r="U795" s="22" t="n"/>
      <c r="V795" s="22" t="n"/>
      <c r="W795" s="22" t="n"/>
      <c r="X795" s="22" t="n"/>
      <c r="Y795" s="22" t="n"/>
      <c r="Z795" s="22" t="n"/>
      <c r="AA795" s="22" t="n"/>
    </row>
    <row r="796" ht="11.25" customHeight="1">
      <c r="A796" s="22" t="n"/>
      <c r="B796" s="22" t="n"/>
      <c r="C796" s="22" t="n"/>
      <c r="D796" s="26" t="n"/>
      <c r="E796" s="27" t="n"/>
      <c r="F796" s="27" t="n"/>
      <c r="G796" s="22" t="n"/>
      <c r="H796" s="22" t="n"/>
      <c r="I796" s="22" t="n"/>
      <c r="J796" s="22" t="n"/>
      <c r="K796" s="22" t="n"/>
      <c r="L796" s="22" t="n"/>
      <c r="M796" s="22" t="n"/>
      <c r="N796" s="22" t="n"/>
      <c r="O796" s="22" t="n"/>
      <c r="P796" s="22" t="n"/>
      <c r="Q796" s="22" t="n"/>
      <c r="R796" s="22" t="n"/>
      <c r="S796" s="22" t="n"/>
      <c r="T796" s="22" t="n"/>
      <c r="U796" s="22" t="n"/>
      <c r="V796" s="22" t="n"/>
      <c r="W796" s="22" t="n"/>
      <c r="X796" s="22" t="n"/>
      <c r="Y796" s="22" t="n"/>
      <c r="Z796" s="22" t="n"/>
      <c r="AA796" s="22" t="n"/>
    </row>
    <row r="797" ht="11.25" customHeight="1">
      <c r="A797" s="22" t="n"/>
      <c r="B797" s="22" t="n"/>
      <c r="C797" s="22" t="n"/>
      <c r="D797" s="26" t="n"/>
      <c r="E797" s="27" t="n"/>
      <c r="F797" s="27" t="n"/>
      <c r="G797" s="22" t="n"/>
      <c r="H797" s="22" t="n"/>
      <c r="I797" s="22" t="n"/>
      <c r="J797" s="22" t="n"/>
      <c r="K797" s="22" t="n"/>
      <c r="L797" s="22" t="n"/>
      <c r="M797" s="22" t="n"/>
      <c r="N797" s="22" t="n"/>
      <c r="O797" s="22" t="n"/>
      <c r="P797" s="22" t="n"/>
      <c r="Q797" s="22" t="n"/>
      <c r="R797" s="22" t="n"/>
      <c r="S797" s="22" t="n"/>
      <c r="T797" s="22" t="n"/>
      <c r="U797" s="22" t="n"/>
      <c r="V797" s="22" t="n"/>
      <c r="W797" s="22" t="n"/>
      <c r="X797" s="22" t="n"/>
      <c r="Y797" s="22" t="n"/>
      <c r="Z797" s="22" t="n"/>
      <c r="AA797" s="22" t="n"/>
    </row>
    <row r="798" ht="11.25" customHeight="1">
      <c r="A798" s="22" t="n"/>
      <c r="B798" s="22" t="n"/>
      <c r="C798" s="22" t="n"/>
      <c r="D798" s="26" t="n"/>
      <c r="E798" s="27" t="n"/>
      <c r="F798" s="27" t="n"/>
      <c r="G798" s="22" t="n"/>
      <c r="H798" s="22" t="n"/>
      <c r="I798" s="22" t="n"/>
      <c r="J798" s="22" t="n"/>
      <c r="K798" s="22" t="n"/>
      <c r="L798" s="22" t="n"/>
      <c r="M798" s="22" t="n"/>
      <c r="N798" s="22" t="n"/>
      <c r="O798" s="22" t="n"/>
      <c r="P798" s="22" t="n"/>
      <c r="Q798" s="22" t="n"/>
      <c r="R798" s="22" t="n"/>
      <c r="S798" s="22" t="n"/>
      <c r="T798" s="22" t="n"/>
      <c r="U798" s="22" t="n"/>
      <c r="V798" s="22" t="n"/>
      <c r="W798" s="22" t="n"/>
      <c r="X798" s="22" t="n"/>
      <c r="Y798" s="22" t="n"/>
      <c r="Z798" s="22" t="n"/>
      <c r="AA798" s="22" t="n"/>
    </row>
    <row r="799" ht="11.25" customHeight="1">
      <c r="A799" s="22" t="n"/>
      <c r="B799" s="22" t="n"/>
      <c r="C799" s="22" t="n"/>
      <c r="D799" s="26" t="n"/>
      <c r="E799" s="27" t="n"/>
      <c r="F799" s="27" t="n"/>
      <c r="G799" s="22" t="n"/>
      <c r="H799" s="22" t="n"/>
      <c r="I799" s="22" t="n"/>
      <c r="J799" s="22" t="n"/>
      <c r="K799" s="22" t="n"/>
      <c r="L799" s="22" t="n"/>
      <c r="M799" s="22" t="n"/>
      <c r="N799" s="22" t="n"/>
      <c r="O799" s="22" t="n"/>
      <c r="P799" s="22" t="n"/>
      <c r="Q799" s="22" t="n"/>
      <c r="R799" s="22" t="n"/>
      <c r="S799" s="22" t="n"/>
      <c r="T799" s="22" t="n"/>
      <c r="U799" s="22" t="n"/>
      <c r="V799" s="22" t="n"/>
      <c r="W799" s="22" t="n"/>
      <c r="X799" s="22" t="n"/>
      <c r="Y799" s="22" t="n"/>
      <c r="Z799" s="22" t="n"/>
      <c r="AA799" s="22" t="n"/>
    </row>
    <row r="800" ht="11.25" customHeight="1">
      <c r="A800" s="22" t="n"/>
      <c r="B800" s="22" t="n"/>
      <c r="C800" s="22" t="n"/>
      <c r="D800" s="26" t="n"/>
      <c r="E800" s="27" t="n"/>
      <c r="F800" s="27" t="n"/>
      <c r="G800" s="22" t="n"/>
      <c r="H800" s="22" t="n"/>
      <c r="I800" s="22" t="n"/>
      <c r="J800" s="22" t="n"/>
      <c r="K800" s="22" t="n"/>
      <c r="L800" s="22" t="n"/>
      <c r="M800" s="22" t="n"/>
      <c r="N800" s="22" t="n"/>
      <c r="O800" s="22" t="n"/>
      <c r="P800" s="22" t="n"/>
      <c r="Q800" s="22" t="n"/>
      <c r="R800" s="22" t="n"/>
      <c r="S800" s="22" t="n"/>
      <c r="T800" s="22" t="n"/>
      <c r="U800" s="22" t="n"/>
      <c r="V800" s="22" t="n"/>
      <c r="W800" s="22" t="n"/>
      <c r="X800" s="22" t="n"/>
      <c r="Y800" s="22" t="n"/>
      <c r="Z800" s="22" t="n"/>
      <c r="AA800" s="22" t="n"/>
    </row>
    <row r="801" ht="11.25" customHeight="1">
      <c r="A801" s="22" t="n"/>
      <c r="B801" s="22" t="n"/>
      <c r="C801" s="22" t="n"/>
      <c r="D801" s="26" t="n"/>
      <c r="E801" s="27" t="n"/>
      <c r="F801" s="27" t="n"/>
      <c r="G801" s="22" t="n"/>
      <c r="H801" s="22" t="n"/>
      <c r="I801" s="22" t="n"/>
      <c r="J801" s="22" t="n"/>
      <c r="K801" s="22" t="n"/>
      <c r="L801" s="22" t="n"/>
      <c r="M801" s="22" t="n"/>
      <c r="N801" s="22" t="n"/>
      <c r="O801" s="22" t="n"/>
      <c r="P801" s="22" t="n"/>
      <c r="Q801" s="22" t="n"/>
      <c r="R801" s="22" t="n"/>
      <c r="S801" s="22" t="n"/>
      <c r="T801" s="22" t="n"/>
      <c r="U801" s="22" t="n"/>
      <c r="V801" s="22" t="n"/>
      <c r="W801" s="22" t="n"/>
      <c r="X801" s="22" t="n"/>
      <c r="Y801" s="22" t="n"/>
      <c r="Z801" s="22" t="n"/>
      <c r="AA801" s="22" t="n"/>
    </row>
    <row r="802" ht="11.25" customHeight="1">
      <c r="A802" s="22" t="n"/>
      <c r="B802" s="22" t="n"/>
      <c r="C802" s="22" t="n"/>
      <c r="D802" s="26" t="n"/>
      <c r="E802" s="27" t="n"/>
      <c r="F802" s="27" t="n"/>
      <c r="G802" s="22" t="n"/>
      <c r="H802" s="22" t="n"/>
      <c r="I802" s="22" t="n"/>
      <c r="J802" s="22" t="n"/>
      <c r="K802" s="22" t="n"/>
      <c r="L802" s="22" t="n"/>
      <c r="M802" s="22" t="n"/>
      <c r="N802" s="22" t="n"/>
      <c r="O802" s="22" t="n"/>
      <c r="P802" s="22" t="n"/>
      <c r="Q802" s="22" t="n"/>
      <c r="R802" s="22" t="n"/>
      <c r="S802" s="22" t="n"/>
      <c r="T802" s="22" t="n"/>
      <c r="U802" s="22" t="n"/>
      <c r="V802" s="22" t="n"/>
      <c r="W802" s="22" t="n"/>
      <c r="X802" s="22" t="n"/>
      <c r="Y802" s="22" t="n"/>
      <c r="Z802" s="22" t="n"/>
      <c r="AA802" s="22" t="n"/>
    </row>
    <row r="803" ht="11.25" customHeight="1">
      <c r="A803" s="22" t="n"/>
      <c r="B803" s="22" t="n"/>
      <c r="C803" s="22" t="n"/>
      <c r="D803" s="26" t="n"/>
      <c r="E803" s="27" t="n"/>
      <c r="F803" s="27" t="n"/>
      <c r="G803" s="22" t="n"/>
      <c r="H803" s="22" t="n"/>
      <c r="I803" s="22" t="n"/>
      <c r="J803" s="22" t="n"/>
      <c r="K803" s="22" t="n"/>
      <c r="L803" s="22" t="n"/>
      <c r="M803" s="22" t="n"/>
      <c r="N803" s="22" t="n"/>
      <c r="O803" s="22" t="n"/>
      <c r="P803" s="22" t="n"/>
      <c r="Q803" s="22" t="n"/>
      <c r="R803" s="22" t="n"/>
      <c r="S803" s="22" t="n"/>
      <c r="T803" s="22" t="n"/>
      <c r="U803" s="22" t="n"/>
      <c r="V803" s="22" t="n"/>
      <c r="W803" s="22" t="n"/>
      <c r="X803" s="22" t="n"/>
      <c r="Y803" s="22" t="n"/>
      <c r="Z803" s="22" t="n"/>
      <c r="AA803" s="22" t="n"/>
    </row>
    <row r="804" ht="11.25" customHeight="1">
      <c r="A804" s="22" t="n"/>
      <c r="B804" s="22" t="n"/>
      <c r="C804" s="22" t="n"/>
      <c r="D804" s="26" t="n"/>
      <c r="E804" s="27" t="n"/>
      <c r="F804" s="27" t="n"/>
      <c r="G804" s="22" t="n"/>
      <c r="H804" s="22" t="n"/>
      <c r="I804" s="22" t="n"/>
      <c r="J804" s="22" t="n"/>
      <c r="K804" s="22" t="n"/>
      <c r="L804" s="22" t="n"/>
      <c r="M804" s="22" t="n"/>
      <c r="N804" s="22" t="n"/>
      <c r="O804" s="22" t="n"/>
      <c r="P804" s="22" t="n"/>
      <c r="Q804" s="22" t="n"/>
      <c r="R804" s="22" t="n"/>
      <c r="S804" s="22" t="n"/>
      <c r="T804" s="22" t="n"/>
      <c r="U804" s="22" t="n"/>
      <c r="V804" s="22" t="n"/>
      <c r="W804" s="22" t="n"/>
      <c r="X804" s="22" t="n"/>
      <c r="Y804" s="22" t="n"/>
      <c r="Z804" s="22" t="n"/>
      <c r="AA804" s="22" t="n"/>
    </row>
    <row r="805" ht="11.25" customHeight="1">
      <c r="A805" s="22" t="n"/>
      <c r="B805" s="22" t="n"/>
      <c r="C805" s="22" t="n"/>
      <c r="D805" s="26" t="n"/>
      <c r="E805" s="27" t="n"/>
      <c r="F805" s="27" t="n"/>
      <c r="G805" s="22" t="n"/>
      <c r="H805" s="22" t="n"/>
      <c r="I805" s="22" t="n"/>
      <c r="J805" s="22" t="n"/>
      <c r="K805" s="22" t="n"/>
      <c r="L805" s="22" t="n"/>
      <c r="M805" s="22" t="n"/>
      <c r="N805" s="22" t="n"/>
      <c r="O805" s="22" t="n"/>
      <c r="P805" s="22" t="n"/>
      <c r="Q805" s="22" t="n"/>
      <c r="R805" s="22" t="n"/>
      <c r="S805" s="22" t="n"/>
      <c r="T805" s="22" t="n"/>
      <c r="U805" s="22" t="n"/>
      <c r="V805" s="22" t="n"/>
      <c r="W805" s="22" t="n"/>
      <c r="X805" s="22" t="n"/>
      <c r="Y805" s="22" t="n"/>
      <c r="Z805" s="22" t="n"/>
      <c r="AA805" s="22" t="n"/>
    </row>
    <row r="806" ht="11.25" customHeight="1">
      <c r="A806" s="22" t="n"/>
      <c r="B806" s="22" t="n"/>
      <c r="C806" s="22" t="n"/>
      <c r="D806" s="26" t="n"/>
      <c r="E806" s="27" t="n"/>
      <c r="F806" s="27" t="n"/>
      <c r="G806" s="22" t="n"/>
      <c r="H806" s="22" t="n"/>
      <c r="I806" s="22" t="n"/>
      <c r="J806" s="22" t="n"/>
      <c r="K806" s="22" t="n"/>
      <c r="L806" s="22" t="n"/>
      <c r="M806" s="22" t="n"/>
      <c r="N806" s="22" t="n"/>
      <c r="O806" s="22" t="n"/>
      <c r="P806" s="22" t="n"/>
      <c r="Q806" s="22" t="n"/>
      <c r="R806" s="22" t="n"/>
      <c r="S806" s="22" t="n"/>
      <c r="T806" s="22" t="n"/>
      <c r="U806" s="22" t="n"/>
      <c r="V806" s="22" t="n"/>
      <c r="W806" s="22" t="n"/>
      <c r="X806" s="22" t="n"/>
      <c r="Y806" s="22" t="n"/>
      <c r="Z806" s="22" t="n"/>
      <c r="AA806" s="22" t="n"/>
    </row>
    <row r="807" ht="11.25" customHeight="1">
      <c r="A807" s="22" t="n"/>
      <c r="B807" s="22" t="n"/>
      <c r="C807" s="22" t="n"/>
      <c r="D807" s="26" t="n"/>
      <c r="E807" s="27" t="n"/>
      <c r="F807" s="27" t="n"/>
      <c r="G807" s="22" t="n"/>
      <c r="H807" s="22" t="n"/>
      <c r="I807" s="22" t="n"/>
      <c r="J807" s="22" t="n"/>
      <c r="K807" s="22" t="n"/>
      <c r="L807" s="22" t="n"/>
      <c r="M807" s="22" t="n"/>
      <c r="N807" s="22" t="n"/>
      <c r="O807" s="22" t="n"/>
      <c r="P807" s="22" t="n"/>
      <c r="Q807" s="22" t="n"/>
      <c r="R807" s="22" t="n"/>
      <c r="S807" s="22" t="n"/>
      <c r="T807" s="22" t="n"/>
      <c r="U807" s="22" t="n"/>
      <c r="V807" s="22" t="n"/>
      <c r="W807" s="22" t="n"/>
      <c r="X807" s="22" t="n"/>
      <c r="Y807" s="22" t="n"/>
      <c r="Z807" s="22" t="n"/>
      <c r="AA807" s="22" t="n"/>
    </row>
    <row r="808" ht="11.25" customHeight="1">
      <c r="A808" s="22" t="n"/>
      <c r="B808" s="22" t="n"/>
      <c r="C808" s="22" t="n"/>
      <c r="D808" s="26" t="n"/>
      <c r="E808" s="27" t="n"/>
      <c r="F808" s="27" t="n"/>
      <c r="G808" s="22" t="n"/>
      <c r="H808" s="22" t="n"/>
      <c r="I808" s="22" t="n"/>
      <c r="J808" s="22" t="n"/>
      <c r="K808" s="22" t="n"/>
      <c r="L808" s="22" t="n"/>
      <c r="M808" s="22" t="n"/>
      <c r="N808" s="22" t="n"/>
      <c r="O808" s="22" t="n"/>
      <c r="P808" s="22" t="n"/>
      <c r="Q808" s="22" t="n"/>
      <c r="R808" s="22" t="n"/>
      <c r="S808" s="22" t="n"/>
      <c r="T808" s="22" t="n"/>
      <c r="U808" s="22" t="n"/>
      <c r="V808" s="22" t="n"/>
      <c r="W808" s="22" t="n"/>
      <c r="X808" s="22" t="n"/>
      <c r="Y808" s="22" t="n"/>
      <c r="Z808" s="22" t="n"/>
      <c r="AA808" s="22" t="n"/>
    </row>
    <row r="809" ht="11.25" customHeight="1">
      <c r="A809" s="22" t="n"/>
      <c r="B809" s="22" t="n"/>
      <c r="C809" s="22" t="n"/>
      <c r="D809" s="26" t="n"/>
      <c r="E809" s="27" t="n"/>
      <c r="F809" s="27" t="n"/>
      <c r="G809" s="22" t="n"/>
      <c r="H809" s="22" t="n"/>
      <c r="I809" s="22" t="n"/>
      <c r="J809" s="22" t="n"/>
      <c r="K809" s="22" t="n"/>
      <c r="L809" s="22" t="n"/>
      <c r="M809" s="22" t="n"/>
      <c r="N809" s="22" t="n"/>
      <c r="O809" s="22" t="n"/>
      <c r="P809" s="22" t="n"/>
      <c r="Q809" s="22" t="n"/>
      <c r="R809" s="22" t="n"/>
      <c r="S809" s="22" t="n"/>
      <c r="T809" s="22" t="n"/>
      <c r="U809" s="22" t="n"/>
      <c r="V809" s="22" t="n"/>
      <c r="W809" s="22" t="n"/>
      <c r="X809" s="22" t="n"/>
      <c r="Y809" s="22" t="n"/>
      <c r="Z809" s="22" t="n"/>
      <c r="AA809" s="22" t="n"/>
    </row>
    <row r="810" ht="11.25" customHeight="1">
      <c r="A810" s="22" t="n"/>
      <c r="B810" s="22" t="n"/>
      <c r="C810" s="22" t="n"/>
      <c r="D810" s="26" t="n"/>
      <c r="E810" s="27" t="n"/>
      <c r="F810" s="27" t="n"/>
      <c r="G810" s="22" t="n"/>
      <c r="H810" s="22" t="n"/>
      <c r="I810" s="22" t="n"/>
      <c r="J810" s="22" t="n"/>
      <c r="K810" s="22" t="n"/>
      <c r="L810" s="22" t="n"/>
      <c r="M810" s="22" t="n"/>
      <c r="N810" s="22" t="n"/>
      <c r="O810" s="22" t="n"/>
      <c r="P810" s="22" t="n"/>
      <c r="Q810" s="22" t="n"/>
      <c r="R810" s="22" t="n"/>
      <c r="S810" s="22" t="n"/>
      <c r="T810" s="22" t="n"/>
      <c r="U810" s="22" t="n"/>
      <c r="V810" s="22" t="n"/>
      <c r="W810" s="22" t="n"/>
      <c r="X810" s="22" t="n"/>
      <c r="Y810" s="22" t="n"/>
      <c r="Z810" s="22" t="n"/>
      <c r="AA810" s="22" t="n"/>
    </row>
    <row r="811" ht="11.25" customHeight="1">
      <c r="A811" s="22" t="n"/>
      <c r="B811" s="22" t="n"/>
      <c r="C811" s="22" t="n"/>
      <c r="D811" s="26" t="n"/>
      <c r="E811" s="27" t="n"/>
      <c r="F811" s="27" t="n"/>
      <c r="G811" s="22" t="n"/>
      <c r="H811" s="22" t="n"/>
      <c r="I811" s="22" t="n"/>
      <c r="J811" s="22" t="n"/>
      <c r="K811" s="22" t="n"/>
      <c r="L811" s="22" t="n"/>
      <c r="M811" s="22" t="n"/>
      <c r="N811" s="22" t="n"/>
      <c r="O811" s="22" t="n"/>
      <c r="P811" s="22" t="n"/>
      <c r="Q811" s="22" t="n"/>
      <c r="R811" s="22" t="n"/>
      <c r="S811" s="22" t="n"/>
      <c r="T811" s="22" t="n"/>
      <c r="U811" s="22" t="n"/>
      <c r="V811" s="22" t="n"/>
      <c r="W811" s="22" t="n"/>
      <c r="X811" s="22" t="n"/>
      <c r="Y811" s="22" t="n"/>
      <c r="Z811" s="22" t="n"/>
      <c r="AA811" s="22" t="n"/>
    </row>
    <row r="812" ht="11.25" customHeight="1">
      <c r="A812" s="22" t="n"/>
      <c r="B812" s="22" t="n"/>
      <c r="C812" s="22" t="n"/>
      <c r="D812" s="26" t="n"/>
      <c r="E812" s="27" t="n"/>
      <c r="F812" s="27" t="n"/>
      <c r="G812" s="22" t="n"/>
      <c r="H812" s="22" t="n"/>
      <c r="I812" s="22" t="n"/>
      <c r="J812" s="22" t="n"/>
      <c r="K812" s="22" t="n"/>
      <c r="L812" s="22" t="n"/>
      <c r="M812" s="22" t="n"/>
      <c r="N812" s="22" t="n"/>
      <c r="O812" s="22" t="n"/>
      <c r="P812" s="22" t="n"/>
      <c r="Q812" s="22" t="n"/>
      <c r="R812" s="22" t="n"/>
      <c r="S812" s="22" t="n"/>
      <c r="T812" s="22" t="n"/>
      <c r="U812" s="22" t="n"/>
      <c r="V812" s="22" t="n"/>
      <c r="W812" s="22" t="n"/>
      <c r="X812" s="22" t="n"/>
      <c r="Y812" s="22" t="n"/>
      <c r="Z812" s="22" t="n"/>
      <c r="AA812" s="22" t="n"/>
    </row>
    <row r="813" ht="11.25" customHeight="1">
      <c r="A813" s="22" t="n"/>
      <c r="B813" s="22" t="n"/>
      <c r="C813" s="22" t="n"/>
      <c r="D813" s="26" t="n"/>
      <c r="E813" s="27" t="n"/>
      <c r="F813" s="27" t="n"/>
      <c r="G813" s="22" t="n"/>
      <c r="H813" s="22" t="n"/>
      <c r="I813" s="22" t="n"/>
      <c r="J813" s="22" t="n"/>
      <c r="K813" s="22" t="n"/>
      <c r="L813" s="22" t="n"/>
      <c r="M813" s="22" t="n"/>
      <c r="N813" s="22" t="n"/>
      <c r="O813" s="22" t="n"/>
      <c r="P813" s="22" t="n"/>
      <c r="Q813" s="22" t="n"/>
      <c r="R813" s="22" t="n"/>
      <c r="S813" s="22" t="n"/>
      <c r="T813" s="22" t="n"/>
      <c r="U813" s="22" t="n"/>
      <c r="V813" s="22" t="n"/>
      <c r="W813" s="22" t="n"/>
      <c r="X813" s="22" t="n"/>
      <c r="Y813" s="22" t="n"/>
      <c r="Z813" s="22" t="n"/>
      <c r="AA813" s="22" t="n"/>
    </row>
    <row r="814" ht="11.25" customHeight="1">
      <c r="A814" s="22" t="n"/>
      <c r="B814" s="22" t="n"/>
      <c r="C814" s="22" t="n"/>
      <c r="D814" s="26" t="n"/>
      <c r="E814" s="27" t="n"/>
      <c r="F814" s="27" t="n"/>
      <c r="G814" s="22" t="n"/>
      <c r="H814" s="22" t="n"/>
      <c r="I814" s="22" t="n"/>
      <c r="J814" s="22" t="n"/>
      <c r="K814" s="22" t="n"/>
      <c r="L814" s="22" t="n"/>
      <c r="M814" s="22" t="n"/>
      <c r="N814" s="22" t="n"/>
      <c r="O814" s="22" t="n"/>
      <c r="P814" s="22" t="n"/>
      <c r="Q814" s="22" t="n"/>
      <c r="R814" s="22" t="n"/>
      <c r="S814" s="22" t="n"/>
      <c r="T814" s="22" t="n"/>
      <c r="U814" s="22" t="n"/>
      <c r="V814" s="22" t="n"/>
      <c r="W814" s="22" t="n"/>
      <c r="X814" s="22" t="n"/>
      <c r="Y814" s="22" t="n"/>
      <c r="Z814" s="22" t="n"/>
      <c r="AA814" s="22" t="n"/>
    </row>
    <row r="815" ht="11.25" customHeight="1">
      <c r="A815" s="22" t="n"/>
      <c r="B815" s="22" t="n"/>
      <c r="C815" s="22" t="n"/>
      <c r="D815" s="26" t="n"/>
      <c r="E815" s="27" t="n"/>
      <c r="F815" s="27" t="n"/>
      <c r="G815" s="22" t="n"/>
      <c r="H815" s="22" t="n"/>
      <c r="I815" s="22" t="n"/>
      <c r="J815" s="22" t="n"/>
      <c r="K815" s="22" t="n"/>
      <c r="L815" s="22" t="n"/>
      <c r="M815" s="22" t="n"/>
      <c r="N815" s="22" t="n"/>
      <c r="O815" s="22" t="n"/>
      <c r="P815" s="22" t="n"/>
      <c r="Q815" s="22" t="n"/>
      <c r="R815" s="22" t="n"/>
      <c r="S815" s="22" t="n"/>
      <c r="T815" s="22" t="n"/>
      <c r="U815" s="22" t="n"/>
      <c r="V815" s="22" t="n"/>
      <c r="W815" s="22" t="n"/>
      <c r="X815" s="22" t="n"/>
      <c r="Y815" s="22" t="n"/>
      <c r="Z815" s="22" t="n"/>
      <c r="AA815" s="22" t="n"/>
    </row>
    <row r="816" ht="11.25" customHeight="1">
      <c r="A816" s="22" t="n"/>
      <c r="B816" s="22" t="n"/>
      <c r="C816" s="22" t="n"/>
      <c r="D816" s="26" t="n"/>
      <c r="E816" s="27" t="n"/>
      <c r="F816" s="27" t="n"/>
      <c r="G816" s="22" t="n"/>
      <c r="H816" s="22" t="n"/>
      <c r="I816" s="22" t="n"/>
      <c r="J816" s="22" t="n"/>
      <c r="K816" s="22" t="n"/>
      <c r="L816" s="22" t="n"/>
      <c r="M816" s="22" t="n"/>
      <c r="N816" s="22" t="n"/>
      <c r="O816" s="22" t="n"/>
      <c r="P816" s="22" t="n"/>
      <c r="Q816" s="22" t="n"/>
      <c r="R816" s="22" t="n"/>
      <c r="S816" s="22" t="n"/>
      <c r="T816" s="22" t="n"/>
      <c r="U816" s="22" t="n"/>
      <c r="V816" s="22" t="n"/>
      <c r="W816" s="22" t="n"/>
      <c r="X816" s="22" t="n"/>
      <c r="Y816" s="22" t="n"/>
      <c r="Z816" s="22" t="n"/>
      <c r="AA816" s="22" t="n"/>
    </row>
    <row r="817" ht="11.25" customHeight="1">
      <c r="A817" s="22" t="n"/>
      <c r="B817" s="22" t="n"/>
      <c r="C817" s="22" t="n"/>
      <c r="D817" s="26" t="n"/>
      <c r="E817" s="27" t="n"/>
      <c r="F817" s="27" t="n"/>
      <c r="G817" s="22" t="n"/>
      <c r="H817" s="22" t="n"/>
      <c r="I817" s="22" t="n"/>
      <c r="J817" s="22" t="n"/>
      <c r="K817" s="22" t="n"/>
      <c r="L817" s="22" t="n"/>
      <c r="M817" s="22" t="n"/>
      <c r="N817" s="22" t="n"/>
      <c r="O817" s="22" t="n"/>
      <c r="P817" s="22" t="n"/>
      <c r="Q817" s="22" t="n"/>
      <c r="R817" s="22" t="n"/>
      <c r="S817" s="22" t="n"/>
      <c r="T817" s="22" t="n"/>
      <c r="U817" s="22" t="n"/>
      <c r="V817" s="22" t="n"/>
      <c r="W817" s="22" t="n"/>
      <c r="X817" s="22" t="n"/>
      <c r="Y817" s="22" t="n"/>
      <c r="Z817" s="22" t="n"/>
      <c r="AA817" s="22" t="n"/>
    </row>
    <row r="818" ht="11.25" customHeight="1">
      <c r="A818" s="22" t="n"/>
      <c r="B818" s="22" t="n"/>
      <c r="C818" s="22" t="n"/>
      <c r="D818" s="26" t="n"/>
      <c r="E818" s="27" t="n"/>
      <c r="F818" s="27" t="n"/>
      <c r="G818" s="22" t="n"/>
      <c r="H818" s="22" t="n"/>
      <c r="I818" s="22" t="n"/>
      <c r="J818" s="22" t="n"/>
      <c r="K818" s="22" t="n"/>
      <c r="L818" s="22" t="n"/>
      <c r="M818" s="22" t="n"/>
      <c r="N818" s="22" t="n"/>
      <c r="O818" s="22" t="n"/>
      <c r="P818" s="22" t="n"/>
      <c r="Q818" s="22" t="n"/>
      <c r="R818" s="22" t="n"/>
      <c r="S818" s="22" t="n"/>
      <c r="T818" s="22" t="n"/>
      <c r="U818" s="22" t="n"/>
      <c r="V818" s="22" t="n"/>
      <c r="W818" s="22" t="n"/>
      <c r="X818" s="22" t="n"/>
      <c r="Y818" s="22" t="n"/>
      <c r="Z818" s="22" t="n"/>
      <c r="AA818" s="22" t="n"/>
    </row>
    <row r="819" ht="11.25" customHeight="1">
      <c r="A819" s="22" t="n"/>
      <c r="B819" s="22" t="n"/>
      <c r="C819" s="22" t="n"/>
      <c r="D819" s="26" t="n"/>
      <c r="E819" s="27" t="n"/>
      <c r="F819" s="27" t="n"/>
      <c r="G819" s="22" t="n"/>
      <c r="H819" s="22" t="n"/>
      <c r="I819" s="22" t="n"/>
      <c r="J819" s="22" t="n"/>
      <c r="K819" s="22" t="n"/>
      <c r="L819" s="22" t="n"/>
      <c r="M819" s="22" t="n"/>
      <c r="N819" s="22" t="n"/>
      <c r="O819" s="22" t="n"/>
      <c r="P819" s="22" t="n"/>
      <c r="Q819" s="22" t="n"/>
      <c r="R819" s="22" t="n"/>
      <c r="S819" s="22" t="n"/>
      <c r="T819" s="22" t="n"/>
      <c r="U819" s="22" t="n"/>
      <c r="V819" s="22" t="n"/>
      <c r="W819" s="22" t="n"/>
      <c r="X819" s="22" t="n"/>
      <c r="Y819" s="22" t="n"/>
      <c r="Z819" s="22" t="n"/>
      <c r="AA819" s="22" t="n"/>
    </row>
    <row r="820" ht="11.25" customHeight="1">
      <c r="A820" s="22" t="n"/>
      <c r="B820" s="22" t="n"/>
      <c r="C820" s="22" t="n"/>
      <c r="D820" s="26" t="n"/>
      <c r="E820" s="27" t="n"/>
      <c r="F820" s="27" t="n"/>
      <c r="G820" s="22" t="n"/>
      <c r="H820" s="22" t="n"/>
      <c r="I820" s="22" t="n"/>
      <c r="J820" s="22" t="n"/>
      <c r="K820" s="22" t="n"/>
      <c r="L820" s="22" t="n"/>
      <c r="M820" s="22" t="n"/>
      <c r="N820" s="22" t="n"/>
      <c r="O820" s="22" t="n"/>
      <c r="P820" s="22" t="n"/>
      <c r="Q820" s="22" t="n"/>
      <c r="R820" s="22" t="n"/>
      <c r="S820" s="22" t="n"/>
      <c r="T820" s="22" t="n"/>
      <c r="U820" s="22" t="n"/>
      <c r="V820" s="22" t="n"/>
      <c r="W820" s="22" t="n"/>
      <c r="X820" s="22" t="n"/>
      <c r="Y820" s="22" t="n"/>
      <c r="Z820" s="22" t="n"/>
      <c r="AA820" s="22" t="n"/>
    </row>
    <row r="821" ht="11.25" customHeight="1">
      <c r="A821" s="22" t="n"/>
      <c r="B821" s="22" t="n"/>
      <c r="C821" s="22" t="n"/>
      <c r="D821" s="26" t="n"/>
      <c r="E821" s="27" t="n"/>
      <c r="F821" s="27" t="n"/>
      <c r="G821" s="22" t="n"/>
      <c r="H821" s="22" t="n"/>
      <c r="I821" s="22" t="n"/>
      <c r="J821" s="22" t="n"/>
      <c r="K821" s="22" t="n"/>
      <c r="L821" s="22" t="n"/>
      <c r="M821" s="22" t="n"/>
      <c r="N821" s="22" t="n"/>
      <c r="O821" s="22" t="n"/>
      <c r="P821" s="22" t="n"/>
      <c r="Q821" s="22" t="n"/>
      <c r="R821" s="22" t="n"/>
      <c r="S821" s="22" t="n"/>
      <c r="T821" s="22" t="n"/>
      <c r="U821" s="22" t="n"/>
      <c r="V821" s="22" t="n"/>
      <c r="W821" s="22" t="n"/>
      <c r="X821" s="22" t="n"/>
      <c r="Y821" s="22" t="n"/>
      <c r="Z821" s="22" t="n"/>
      <c r="AA821" s="22" t="n"/>
    </row>
    <row r="822" ht="11.25" customHeight="1">
      <c r="A822" s="22" t="n"/>
      <c r="B822" s="22" t="n"/>
      <c r="C822" s="22" t="n"/>
      <c r="D822" s="26" t="n"/>
      <c r="E822" s="27" t="n"/>
      <c r="F822" s="27" t="n"/>
      <c r="G822" s="22" t="n"/>
      <c r="H822" s="22" t="n"/>
      <c r="I822" s="22" t="n"/>
      <c r="J822" s="22" t="n"/>
      <c r="K822" s="22" t="n"/>
      <c r="L822" s="22" t="n"/>
      <c r="M822" s="22" t="n"/>
      <c r="N822" s="22" t="n"/>
      <c r="O822" s="22" t="n"/>
      <c r="P822" s="22" t="n"/>
      <c r="Q822" s="22" t="n"/>
      <c r="R822" s="22" t="n"/>
      <c r="S822" s="22" t="n"/>
      <c r="T822" s="22" t="n"/>
      <c r="U822" s="22" t="n"/>
      <c r="V822" s="22" t="n"/>
      <c r="W822" s="22" t="n"/>
      <c r="X822" s="22" t="n"/>
      <c r="Y822" s="22" t="n"/>
      <c r="Z822" s="22" t="n"/>
      <c r="AA822" s="22" t="n"/>
    </row>
    <row r="823" ht="11.25" customHeight="1">
      <c r="A823" s="22" t="n"/>
      <c r="B823" s="22" t="n"/>
      <c r="C823" s="22" t="n"/>
      <c r="D823" s="26" t="n"/>
      <c r="E823" s="27" t="n"/>
      <c r="F823" s="27" t="n"/>
      <c r="G823" s="22" t="n"/>
      <c r="H823" s="22" t="n"/>
      <c r="I823" s="22" t="n"/>
      <c r="J823" s="22" t="n"/>
      <c r="K823" s="22" t="n"/>
      <c r="L823" s="22" t="n"/>
      <c r="M823" s="22" t="n"/>
      <c r="N823" s="22" t="n"/>
      <c r="O823" s="22" t="n"/>
      <c r="P823" s="22" t="n"/>
      <c r="Q823" s="22" t="n"/>
      <c r="R823" s="22" t="n"/>
      <c r="S823" s="22" t="n"/>
      <c r="T823" s="22" t="n"/>
      <c r="U823" s="22" t="n"/>
      <c r="V823" s="22" t="n"/>
      <c r="W823" s="22" t="n"/>
      <c r="X823" s="22" t="n"/>
      <c r="Y823" s="22" t="n"/>
      <c r="Z823" s="22" t="n"/>
      <c r="AA823" s="22" t="n"/>
    </row>
    <row r="824" ht="11.25" customHeight="1">
      <c r="A824" s="22" t="n"/>
      <c r="B824" s="22" t="n"/>
      <c r="C824" s="22" t="n"/>
      <c r="D824" s="26" t="n"/>
      <c r="E824" s="27" t="n"/>
      <c r="F824" s="27" t="n"/>
      <c r="G824" s="22" t="n"/>
      <c r="H824" s="22" t="n"/>
      <c r="I824" s="22" t="n"/>
      <c r="J824" s="22" t="n"/>
      <c r="K824" s="22" t="n"/>
      <c r="L824" s="22" t="n"/>
      <c r="M824" s="22" t="n"/>
      <c r="N824" s="22" t="n"/>
      <c r="O824" s="22" t="n"/>
      <c r="P824" s="22" t="n"/>
      <c r="Q824" s="22" t="n"/>
      <c r="R824" s="22" t="n"/>
      <c r="S824" s="22" t="n"/>
      <c r="T824" s="22" t="n"/>
      <c r="U824" s="22" t="n"/>
      <c r="V824" s="22" t="n"/>
      <c r="W824" s="22" t="n"/>
      <c r="X824" s="22" t="n"/>
      <c r="Y824" s="22" t="n"/>
      <c r="Z824" s="22" t="n"/>
      <c r="AA824" s="22" t="n"/>
    </row>
    <row r="825" ht="11.25" customHeight="1">
      <c r="A825" s="22" t="n"/>
      <c r="B825" s="22" t="n"/>
      <c r="C825" s="22" t="n"/>
      <c r="D825" s="26" t="n"/>
      <c r="E825" s="27" t="n"/>
      <c r="F825" s="27" t="n"/>
      <c r="G825" s="22" t="n"/>
      <c r="H825" s="22" t="n"/>
      <c r="I825" s="22" t="n"/>
      <c r="J825" s="22" t="n"/>
      <c r="K825" s="22" t="n"/>
      <c r="L825" s="22" t="n"/>
      <c r="M825" s="22" t="n"/>
      <c r="N825" s="22" t="n"/>
      <c r="O825" s="22" t="n"/>
      <c r="P825" s="22" t="n"/>
      <c r="Q825" s="22" t="n"/>
      <c r="R825" s="22" t="n"/>
      <c r="S825" s="22" t="n"/>
      <c r="T825" s="22" t="n"/>
      <c r="U825" s="22" t="n"/>
      <c r="V825" s="22" t="n"/>
      <c r="W825" s="22" t="n"/>
      <c r="X825" s="22" t="n"/>
      <c r="Y825" s="22" t="n"/>
      <c r="Z825" s="22" t="n"/>
      <c r="AA825" s="22" t="n"/>
    </row>
    <row r="826" ht="11.25" customHeight="1">
      <c r="A826" s="22" t="n"/>
      <c r="B826" s="22" t="n"/>
      <c r="C826" s="22" t="n"/>
      <c r="D826" s="26" t="n"/>
      <c r="E826" s="27" t="n"/>
      <c r="F826" s="27" t="n"/>
      <c r="G826" s="22" t="n"/>
      <c r="H826" s="22" t="n"/>
      <c r="I826" s="22" t="n"/>
      <c r="J826" s="22" t="n"/>
      <c r="K826" s="22" t="n"/>
      <c r="L826" s="22" t="n"/>
      <c r="M826" s="22" t="n"/>
      <c r="N826" s="22" t="n"/>
      <c r="O826" s="22" t="n"/>
      <c r="P826" s="22" t="n"/>
      <c r="Q826" s="22" t="n"/>
      <c r="R826" s="22" t="n"/>
      <c r="S826" s="22" t="n"/>
      <c r="T826" s="22" t="n"/>
      <c r="U826" s="22" t="n"/>
      <c r="V826" s="22" t="n"/>
      <c r="W826" s="22" t="n"/>
      <c r="X826" s="22" t="n"/>
      <c r="Y826" s="22" t="n"/>
      <c r="Z826" s="22" t="n"/>
      <c r="AA826" s="22" t="n"/>
    </row>
    <row r="827" ht="11.25" customHeight="1">
      <c r="A827" s="22" t="n"/>
      <c r="B827" s="22" t="n"/>
      <c r="C827" s="22" t="n"/>
      <c r="D827" s="26" t="n"/>
      <c r="E827" s="27" t="n"/>
      <c r="F827" s="27" t="n"/>
      <c r="G827" s="22" t="n"/>
      <c r="H827" s="22" t="n"/>
      <c r="I827" s="22" t="n"/>
      <c r="J827" s="22" t="n"/>
      <c r="K827" s="22" t="n"/>
      <c r="L827" s="22" t="n"/>
      <c r="M827" s="22" t="n"/>
      <c r="N827" s="22" t="n"/>
      <c r="O827" s="22" t="n"/>
      <c r="P827" s="22" t="n"/>
      <c r="Q827" s="22" t="n"/>
      <c r="R827" s="22" t="n"/>
      <c r="S827" s="22" t="n"/>
      <c r="T827" s="22" t="n"/>
      <c r="U827" s="22" t="n"/>
      <c r="V827" s="22" t="n"/>
      <c r="W827" s="22" t="n"/>
      <c r="X827" s="22" t="n"/>
      <c r="Y827" s="22" t="n"/>
      <c r="Z827" s="22" t="n"/>
      <c r="AA827" s="22" t="n"/>
    </row>
    <row r="828" ht="11.25" customHeight="1">
      <c r="A828" s="22" t="n"/>
      <c r="B828" s="22" t="n"/>
      <c r="C828" s="22" t="n"/>
      <c r="D828" s="26" t="n"/>
      <c r="E828" s="27" t="n"/>
      <c r="F828" s="27" t="n"/>
      <c r="G828" s="22" t="n"/>
      <c r="H828" s="22" t="n"/>
      <c r="I828" s="22" t="n"/>
      <c r="J828" s="22" t="n"/>
      <c r="K828" s="22" t="n"/>
      <c r="L828" s="22" t="n"/>
      <c r="M828" s="22" t="n"/>
      <c r="N828" s="22" t="n"/>
      <c r="O828" s="22" t="n"/>
      <c r="P828" s="22" t="n"/>
      <c r="Q828" s="22" t="n"/>
      <c r="R828" s="22" t="n"/>
      <c r="S828" s="22" t="n"/>
      <c r="T828" s="22" t="n"/>
      <c r="U828" s="22" t="n"/>
      <c r="V828" s="22" t="n"/>
      <c r="W828" s="22" t="n"/>
      <c r="X828" s="22" t="n"/>
      <c r="Y828" s="22" t="n"/>
      <c r="Z828" s="22" t="n"/>
      <c r="AA828" s="22" t="n"/>
    </row>
    <row r="829" ht="11.25" customHeight="1">
      <c r="A829" s="22" t="n"/>
      <c r="B829" s="22" t="n"/>
      <c r="C829" s="22" t="n"/>
      <c r="D829" s="26" t="n"/>
      <c r="E829" s="27" t="n"/>
      <c r="F829" s="27" t="n"/>
      <c r="G829" s="22" t="n"/>
      <c r="H829" s="22" t="n"/>
      <c r="I829" s="22" t="n"/>
      <c r="J829" s="22" t="n"/>
      <c r="K829" s="22" t="n"/>
      <c r="L829" s="22" t="n"/>
      <c r="M829" s="22" t="n"/>
      <c r="N829" s="22" t="n"/>
      <c r="O829" s="22" t="n"/>
      <c r="P829" s="22" t="n"/>
      <c r="Q829" s="22" t="n"/>
      <c r="R829" s="22" t="n"/>
      <c r="S829" s="22" t="n"/>
      <c r="T829" s="22" t="n"/>
      <c r="U829" s="22" t="n"/>
      <c r="V829" s="22" t="n"/>
      <c r="W829" s="22" t="n"/>
      <c r="X829" s="22" t="n"/>
      <c r="Y829" s="22" t="n"/>
      <c r="Z829" s="22" t="n"/>
      <c r="AA829" s="22" t="n"/>
    </row>
    <row r="830" ht="11.25" customHeight="1">
      <c r="A830" s="22" t="n"/>
      <c r="B830" s="22" t="n"/>
      <c r="C830" s="22" t="n"/>
      <c r="D830" s="26" t="n"/>
      <c r="E830" s="27" t="n"/>
      <c r="F830" s="27" t="n"/>
      <c r="G830" s="22" t="n"/>
      <c r="H830" s="22" t="n"/>
      <c r="I830" s="22" t="n"/>
      <c r="J830" s="22" t="n"/>
      <c r="K830" s="22" t="n"/>
      <c r="L830" s="22" t="n"/>
      <c r="M830" s="22" t="n"/>
      <c r="N830" s="22" t="n"/>
      <c r="O830" s="22" t="n"/>
      <c r="P830" s="22" t="n"/>
      <c r="Q830" s="22" t="n"/>
      <c r="R830" s="22" t="n"/>
      <c r="S830" s="22" t="n"/>
      <c r="T830" s="22" t="n"/>
      <c r="U830" s="22" t="n"/>
      <c r="V830" s="22" t="n"/>
      <c r="W830" s="22" t="n"/>
      <c r="X830" s="22" t="n"/>
      <c r="Y830" s="22" t="n"/>
      <c r="Z830" s="22" t="n"/>
      <c r="AA830" s="22" t="n"/>
    </row>
    <row r="831" ht="11.25" customHeight="1">
      <c r="A831" s="22" t="n"/>
      <c r="B831" s="22" t="n"/>
      <c r="C831" s="22" t="n"/>
      <c r="D831" s="26" t="n"/>
      <c r="E831" s="27" t="n"/>
      <c r="F831" s="27" t="n"/>
      <c r="G831" s="22" t="n"/>
      <c r="H831" s="22" t="n"/>
      <c r="I831" s="22" t="n"/>
      <c r="J831" s="22" t="n"/>
      <c r="K831" s="22" t="n"/>
      <c r="L831" s="22" t="n"/>
      <c r="M831" s="22" t="n"/>
      <c r="N831" s="22" t="n"/>
      <c r="O831" s="22" t="n"/>
      <c r="P831" s="22" t="n"/>
      <c r="Q831" s="22" t="n"/>
      <c r="R831" s="22" t="n"/>
      <c r="S831" s="22" t="n"/>
      <c r="T831" s="22" t="n"/>
      <c r="U831" s="22" t="n"/>
      <c r="V831" s="22" t="n"/>
      <c r="W831" s="22" t="n"/>
      <c r="X831" s="22" t="n"/>
      <c r="Y831" s="22" t="n"/>
      <c r="Z831" s="22" t="n"/>
      <c r="AA831" s="22" t="n"/>
    </row>
    <row r="832" ht="11.25" customHeight="1">
      <c r="A832" s="22" t="n"/>
      <c r="B832" s="22" t="n"/>
      <c r="C832" s="22" t="n"/>
      <c r="D832" s="26" t="n"/>
      <c r="E832" s="27" t="n"/>
      <c r="F832" s="27" t="n"/>
      <c r="G832" s="22" t="n"/>
      <c r="H832" s="22" t="n"/>
      <c r="I832" s="22" t="n"/>
      <c r="J832" s="22" t="n"/>
      <c r="K832" s="22" t="n"/>
      <c r="L832" s="22" t="n"/>
      <c r="M832" s="22" t="n"/>
      <c r="N832" s="22" t="n"/>
      <c r="O832" s="22" t="n"/>
      <c r="P832" s="22" t="n"/>
      <c r="Q832" s="22" t="n"/>
      <c r="R832" s="22" t="n"/>
      <c r="S832" s="22" t="n"/>
      <c r="T832" s="22" t="n"/>
      <c r="U832" s="22" t="n"/>
      <c r="V832" s="22" t="n"/>
      <c r="W832" s="22" t="n"/>
      <c r="X832" s="22" t="n"/>
      <c r="Y832" s="22" t="n"/>
      <c r="Z832" s="22" t="n"/>
      <c r="AA832" s="22" t="n"/>
    </row>
    <row r="833" ht="11.25" customHeight="1">
      <c r="A833" s="22" t="n"/>
      <c r="B833" s="22" t="n"/>
      <c r="C833" s="22" t="n"/>
      <c r="D833" s="26" t="n"/>
      <c r="E833" s="27" t="n"/>
      <c r="F833" s="27" t="n"/>
      <c r="G833" s="22" t="n"/>
      <c r="H833" s="22" t="n"/>
      <c r="I833" s="22" t="n"/>
      <c r="J833" s="22" t="n"/>
      <c r="K833" s="22" t="n"/>
      <c r="L833" s="22" t="n"/>
      <c r="M833" s="22" t="n"/>
      <c r="N833" s="22" t="n"/>
      <c r="O833" s="22" t="n"/>
      <c r="P833" s="22" t="n"/>
      <c r="Q833" s="22" t="n"/>
      <c r="R833" s="22" t="n"/>
      <c r="S833" s="22" t="n"/>
      <c r="T833" s="22" t="n"/>
      <c r="U833" s="22" t="n"/>
      <c r="V833" s="22" t="n"/>
      <c r="W833" s="22" t="n"/>
      <c r="X833" s="22" t="n"/>
      <c r="Y833" s="22" t="n"/>
      <c r="Z833" s="22" t="n"/>
      <c r="AA833" s="22" t="n"/>
    </row>
    <row r="834" ht="11.25" customHeight="1">
      <c r="A834" s="22" t="n"/>
      <c r="B834" s="22" t="n"/>
      <c r="C834" s="22" t="n"/>
      <c r="D834" s="26" t="n"/>
      <c r="E834" s="27" t="n"/>
      <c r="F834" s="27" t="n"/>
      <c r="G834" s="22" t="n"/>
      <c r="H834" s="22" t="n"/>
      <c r="I834" s="22" t="n"/>
      <c r="J834" s="22" t="n"/>
      <c r="K834" s="22" t="n"/>
      <c r="L834" s="22" t="n"/>
      <c r="M834" s="22" t="n"/>
      <c r="N834" s="22" t="n"/>
      <c r="O834" s="22" t="n"/>
      <c r="P834" s="22" t="n"/>
      <c r="Q834" s="22" t="n"/>
      <c r="R834" s="22" t="n"/>
      <c r="S834" s="22" t="n"/>
      <c r="T834" s="22" t="n"/>
      <c r="U834" s="22" t="n"/>
      <c r="V834" s="22" t="n"/>
      <c r="W834" s="22" t="n"/>
      <c r="X834" s="22" t="n"/>
      <c r="Y834" s="22" t="n"/>
      <c r="Z834" s="22" t="n"/>
      <c r="AA834" s="22" t="n"/>
    </row>
    <row r="835" ht="11.25" customHeight="1">
      <c r="A835" s="22" t="n"/>
      <c r="B835" s="22" t="n"/>
      <c r="C835" s="22" t="n"/>
      <c r="D835" s="26" t="n"/>
      <c r="E835" s="27" t="n"/>
      <c r="F835" s="27" t="n"/>
      <c r="G835" s="22" t="n"/>
      <c r="H835" s="22" t="n"/>
      <c r="I835" s="22" t="n"/>
      <c r="J835" s="22" t="n"/>
      <c r="K835" s="22" t="n"/>
      <c r="L835" s="22" t="n"/>
      <c r="M835" s="22" t="n"/>
      <c r="N835" s="22" t="n"/>
      <c r="O835" s="22" t="n"/>
      <c r="P835" s="22" t="n"/>
      <c r="Q835" s="22" t="n"/>
      <c r="R835" s="22" t="n"/>
      <c r="S835" s="22" t="n"/>
      <c r="T835" s="22" t="n"/>
      <c r="U835" s="22" t="n"/>
      <c r="V835" s="22" t="n"/>
      <c r="W835" s="22" t="n"/>
      <c r="X835" s="22" t="n"/>
      <c r="Y835" s="22" t="n"/>
      <c r="Z835" s="22" t="n"/>
      <c r="AA835" s="22" t="n"/>
    </row>
    <row r="836" ht="11.25" customHeight="1">
      <c r="A836" s="22" t="n"/>
      <c r="B836" s="22" t="n"/>
      <c r="C836" s="22" t="n"/>
      <c r="D836" s="26" t="n"/>
      <c r="E836" s="27" t="n"/>
      <c r="F836" s="27" t="n"/>
      <c r="G836" s="22" t="n"/>
      <c r="H836" s="22" t="n"/>
      <c r="I836" s="22" t="n"/>
      <c r="J836" s="22" t="n"/>
      <c r="K836" s="22" t="n"/>
      <c r="L836" s="22" t="n"/>
      <c r="M836" s="22" t="n"/>
      <c r="N836" s="22" t="n"/>
      <c r="O836" s="22" t="n"/>
      <c r="P836" s="22" t="n"/>
      <c r="Q836" s="22" t="n"/>
      <c r="R836" s="22" t="n"/>
      <c r="S836" s="22" t="n"/>
      <c r="T836" s="22" t="n"/>
      <c r="U836" s="22" t="n"/>
      <c r="V836" s="22" t="n"/>
      <c r="W836" s="22" t="n"/>
      <c r="X836" s="22" t="n"/>
      <c r="Y836" s="22" t="n"/>
      <c r="Z836" s="22" t="n"/>
      <c r="AA836" s="22" t="n"/>
    </row>
    <row r="837" ht="11.25" customHeight="1">
      <c r="A837" s="22" t="n"/>
      <c r="B837" s="22" t="n"/>
      <c r="C837" s="22" t="n"/>
      <c r="D837" s="26" t="n"/>
      <c r="E837" s="27" t="n"/>
      <c r="F837" s="27" t="n"/>
      <c r="G837" s="22" t="n"/>
      <c r="H837" s="22" t="n"/>
      <c r="I837" s="22" t="n"/>
      <c r="J837" s="22" t="n"/>
      <c r="K837" s="22" t="n"/>
      <c r="L837" s="22" t="n"/>
      <c r="M837" s="22" t="n"/>
      <c r="N837" s="22" t="n"/>
      <c r="O837" s="22" t="n"/>
      <c r="P837" s="22" t="n"/>
      <c r="Q837" s="22" t="n"/>
      <c r="R837" s="22" t="n"/>
      <c r="S837" s="22" t="n"/>
      <c r="T837" s="22" t="n"/>
      <c r="U837" s="22" t="n"/>
      <c r="V837" s="22" t="n"/>
      <c r="W837" s="22" t="n"/>
      <c r="X837" s="22" t="n"/>
      <c r="Y837" s="22" t="n"/>
      <c r="Z837" s="22" t="n"/>
      <c r="AA837" s="22" t="n"/>
    </row>
    <row r="838" ht="11.25" customHeight="1">
      <c r="A838" s="22" t="n"/>
      <c r="B838" s="22" t="n"/>
      <c r="C838" s="22" t="n"/>
      <c r="D838" s="26" t="n"/>
      <c r="E838" s="27" t="n"/>
      <c r="F838" s="27" t="n"/>
      <c r="G838" s="22" t="n"/>
      <c r="H838" s="22" t="n"/>
      <c r="I838" s="22" t="n"/>
      <c r="J838" s="22" t="n"/>
      <c r="K838" s="22" t="n"/>
      <c r="L838" s="22" t="n"/>
      <c r="M838" s="22" t="n"/>
      <c r="N838" s="22" t="n"/>
      <c r="O838" s="22" t="n"/>
      <c r="P838" s="22" t="n"/>
      <c r="Q838" s="22" t="n"/>
      <c r="R838" s="22" t="n"/>
      <c r="S838" s="22" t="n"/>
      <c r="T838" s="22" t="n"/>
      <c r="U838" s="22" t="n"/>
      <c r="V838" s="22" t="n"/>
      <c r="W838" s="22" t="n"/>
      <c r="X838" s="22" t="n"/>
      <c r="Y838" s="22" t="n"/>
      <c r="Z838" s="22" t="n"/>
      <c r="AA838" s="22" t="n"/>
    </row>
    <row r="839" ht="11.25" customHeight="1">
      <c r="A839" s="22" t="n"/>
      <c r="B839" s="22" t="n"/>
      <c r="C839" s="22" t="n"/>
      <c r="D839" s="26" t="n"/>
      <c r="E839" s="27" t="n"/>
      <c r="F839" s="27" t="n"/>
      <c r="G839" s="22" t="n"/>
      <c r="H839" s="22" t="n"/>
      <c r="I839" s="22" t="n"/>
      <c r="J839" s="22" t="n"/>
      <c r="K839" s="22" t="n"/>
      <c r="L839" s="22" t="n"/>
      <c r="M839" s="22" t="n"/>
      <c r="N839" s="22" t="n"/>
      <c r="O839" s="22" t="n"/>
      <c r="P839" s="22" t="n"/>
      <c r="Q839" s="22" t="n"/>
      <c r="R839" s="22" t="n"/>
      <c r="S839" s="22" t="n"/>
      <c r="T839" s="22" t="n"/>
      <c r="U839" s="22" t="n"/>
      <c r="V839" s="22" t="n"/>
      <c r="W839" s="22" t="n"/>
      <c r="X839" s="22" t="n"/>
      <c r="Y839" s="22" t="n"/>
      <c r="Z839" s="22" t="n"/>
      <c r="AA839" s="22" t="n"/>
    </row>
    <row r="840" ht="11.25" customHeight="1">
      <c r="A840" s="22" t="n"/>
      <c r="B840" s="22" t="n"/>
      <c r="C840" s="22" t="n"/>
      <c r="D840" s="26" t="n"/>
      <c r="E840" s="27" t="n"/>
      <c r="F840" s="27" t="n"/>
      <c r="G840" s="22" t="n"/>
      <c r="H840" s="22" t="n"/>
      <c r="I840" s="22" t="n"/>
      <c r="J840" s="22" t="n"/>
      <c r="K840" s="22" t="n"/>
      <c r="L840" s="22" t="n"/>
      <c r="M840" s="22" t="n"/>
      <c r="N840" s="22" t="n"/>
      <c r="O840" s="22" t="n"/>
      <c r="P840" s="22" t="n"/>
      <c r="Q840" s="22" t="n"/>
      <c r="R840" s="22" t="n"/>
      <c r="S840" s="22" t="n"/>
      <c r="T840" s="22" t="n"/>
      <c r="U840" s="22" t="n"/>
      <c r="V840" s="22" t="n"/>
      <c r="W840" s="22" t="n"/>
      <c r="X840" s="22" t="n"/>
      <c r="Y840" s="22" t="n"/>
      <c r="Z840" s="22" t="n"/>
      <c r="AA840" s="22" t="n"/>
    </row>
    <row r="841" ht="11.25" customHeight="1">
      <c r="A841" s="22" t="n"/>
      <c r="B841" s="22" t="n"/>
      <c r="C841" s="22" t="n"/>
      <c r="D841" s="26" t="n"/>
      <c r="E841" s="27" t="n"/>
      <c r="F841" s="27" t="n"/>
      <c r="G841" s="22" t="n"/>
      <c r="H841" s="22" t="n"/>
      <c r="I841" s="22" t="n"/>
      <c r="J841" s="22" t="n"/>
      <c r="K841" s="22" t="n"/>
      <c r="L841" s="22" t="n"/>
      <c r="M841" s="22" t="n"/>
      <c r="N841" s="22" t="n"/>
      <c r="O841" s="22" t="n"/>
      <c r="P841" s="22" t="n"/>
      <c r="Q841" s="22" t="n"/>
      <c r="R841" s="22" t="n"/>
      <c r="S841" s="22" t="n"/>
      <c r="T841" s="22" t="n"/>
      <c r="U841" s="22" t="n"/>
      <c r="V841" s="22" t="n"/>
      <c r="W841" s="22" t="n"/>
      <c r="X841" s="22" t="n"/>
      <c r="Y841" s="22" t="n"/>
      <c r="Z841" s="22" t="n"/>
      <c r="AA841" s="22" t="n"/>
    </row>
    <row r="842" ht="11.25" customHeight="1">
      <c r="A842" s="22" t="n"/>
      <c r="B842" s="22" t="n"/>
      <c r="C842" s="22" t="n"/>
      <c r="D842" s="26" t="n"/>
      <c r="E842" s="27" t="n"/>
      <c r="F842" s="27" t="n"/>
      <c r="G842" s="22" t="n"/>
      <c r="H842" s="22" t="n"/>
      <c r="I842" s="22" t="n"/>
      <c r="J842" s="22" t="n"/>
      <c r="K842" s="22" t="n"/>
      <c r="L842" s="22" t="n"/>
      <c r="M842" s="22" t="n"/>
      <c r="N842" s="22" t="n"/>
      <c r="O842" s="22" t="n"/>
      <c r="P842" s="22" t="n"/>
      <c r="Q842" s="22" t="n"/>
      <c r="R842" s="22" t="n"/>
      <c r="S842" s="22" t="n"/>
      <c r="T842" s="22" t="n"/>
      <c r="U842" s="22" t="n"/>
      <c r="V842" s="22" t="n"/>
      <c r="W842" s="22" t="n"/>
      <c r="X842" s="22" t="n"/>
      <c r="Y842" s="22" t="n"/>
      <c r="Z842" s="22" t="n"/>
      <c r="AA842" s="22" t="n"/>
    </row>
    <row r="843" ht="11.25" customHeight="1">
      <c r="A843" s="22" t="n"/>
      <c r="B843" s="22" t="n"/>
      <c r="C843" s="22" t="n"/>
      <c r="D843" s="26" t="n"/>
      <c r="E843" s="27" t="n"/>
      <c r="F843" s="27" t="n"/>
      <c r="G843" s="22" t="n"/>
      <c r="H843" s="22" t="n"/>
      <c r="I843" s="22" t="n"/>
      <c r="J843" s="22" t="n"/>
      <c r="K843" s="22" t="n"/>
      <c r="L843" s="22" t="n"/>
      <c r="M843" s="22" t="n"/>
      <c r="N843" s="22" t="n"/>
      <c r="O843" s="22" t="n"/>
      <c r="P843" s="22" t="n"/>
      <c r="Q843" s="22" t="n"/>
      <c r="R843" s="22" t="n"/>
      <c r="S843" s="22" t="n"/>
      <c r="T843" s="22" t="n"/>
      <c r="U843" s="22" t="n"/>
      <c r="V843" s="22" t="n"/>
      <c r="W843" s="22" t="n"/>
      <c r="X843" s="22" t="n"/>
      <c r="Y843" s="22" t="n"/>
      <c r="Z843" s="22" t="n"/>
      <c r="AA843" s="22" t="n"/>
    </row>
    <row r="844" ht="11.25" customHeight="1">
      <c r="A844" s="22" t="n"/>
      <c r="B844" s="22" t="n"/>
      <c r="C844" s="22" t="n"/>
      <c r="D844" s="26" t="n"/>
      <c r="E844" s="27" t="n"/>
      <c r="F844" s="27" t="n"/>
      <c r="G844" s="22" t="n"/>
      <c r="H844" s="22" t="n"/>
      <c r="I844" s="22" t="n"/>
      <c r="J844" s="22" t="n"/>
      <c r="K844" s="22" t="n"/>
      <c r="L844" s="22" t="n"/>
      <c r="M844" s="22" t="n"/>
      <c r="N844" s="22" t="n"/>
      <c r="O844" s="22" t="n"/>
      <c r="P844" s="22" t="n"/>
      <c r="Q844" s="22" t="n"/>
      <c r="R844" s="22" t="n"/>
      <c r="S844" s="22" t="n"/>
      <c r="T844" s="22" t="n"/>
      <c r="U844" s="22" t="n"/>
      <c r="V844" s="22" t="n"/>
      <c r="W844" s="22" t="n"/>
      <c r="X844" s="22" t="n"/>
      <c r="Y844" s="22" t="n"/>
      <c r="Z844" s="22" t="n"/>
      <c r="AA844" s="22" t="n"/>
    </row>
    <row r="845" ht="11.25" customHeight="1">
      <c r="A845" s="22" t="n"/>
      <c r="B845" s="22" t="n"/>
      <c r="C845" s="22" t="n"/>
      <c r="D845" s="26" t="n"/>
      <c r="E845" s="27" t="n"/>
      <c r="F845" s="27" t="n"/>
      <c r="G845" s="22" t="n"/>
      <c r="H845" s="22" t="n"/>
      <c r="I845" s="22" t="n"/>
      <c r="J845" s="22" t="n"/>
      <c r="K845" s="22" t="n"/>
      <c r="L845" s="22" t="n"/>
      <c r="M845" s="22" t="n"/>
      <c r="N845" s="22" t="n"/>
      <c r="O845" s="22" t="n"/>
      <c r="P845" s="22" t="n"/>
      <c r="Q845" s="22" t="n"/>
      <c r="R845" s="22" t="n"/>
      <c r="S845" s="22" t="n"/>
      <c r="T845" s="22" t="n"/>
      <c r="U845" s="22" t="n"/>
      <c r="V845" s="22" t="n"/>
      <c r="W845" s="22" t="n"/>
      <c r="X845" s="22" t="n"/>
      <c r="Y845" s="22" t="n"/>
      <c r="Z845" s="22" t="n"/>
      <c r="AA845" s="22" t="n"/>
    </row>
    <row r="846" ht="11.25" customHeight="1">
      <c r="A846" s="22" t="n"/>
      <c r="B846" s="22" t="n"/>
      <c r="C846" s="22" t="n"/>
      <c r="D846" s="26" t="n"/>
      <c r="E846" s="27" t="n"/>
      <c r="F846" s="27" t="n"/>
      <c r="G846" s="22" t="n"/>
      <c r="H846" s="22" t="n"/>
      <c r="I846" s="22" t="n"/>
      <c r="J846" s="22" t="n"/>
      <c r="K846" s="22" t="n"/>
      <c r="L846" s="22" t="n"/>
      <c r="M846" s="22" t="n"/>
      <c r="N846" s="22" t="n"/>
      <c r="O846" s="22" t="n"/>
      <c r="P846" s="22" t="n"/>
      <c r="Q846" s="22" t="n"/>
      <c r="R846" s="22" t="n"/>
      <c r="S846" s="22" t="n"/>
      <c r="T846" s="22" t="n"/>
      <c r="U846" s="22" t="n"/>
      <c r="V846" s="22" t="n"/>
      <c r="W846" s="22" t="n"/>
      <c r="X846" s="22" t="n"/>
      <c r="Y846" s="22" t="n"/>
      <c r="Z846" s="22" t="n"/>
      <c r="AA846" s="22" t="n"/>
    </row>
    <row r="847" ht="11.25" customHeight="1">
      <c r="A847" s="22" t="n"/>
      <c r="B847" s="22" t="n"/>
      <c r="C847" s="22" t="n"/>
      <c r="D847" s="26" t="n"/>
      <c r="E847" s="27" t="n"/>
      <c r="F847" s="27" t="n"/>
      <c r="G847" s="22" t="n"/>
      <c r="H847" s="22" t="n"/>
      <c r="I847" s="22" t="n"/>
      <c r="J847" s="22" t="n"/>
      <c r="K847" s="22" t="n"/>
      <c r="L847" s="22" t="n"/>
      <c r="M847" s="22" t="n"/>
      <c r="N847" s="22" t="n"/>
      <c r="O847" s="22" t="n"/>
      <c r="P847" s="22" t="n"/>
      <c r="Q847" s="22" t="n"/>
      <c r="R847" s="22" t="n"/>
      <c r="S847" s="22" t="n"/>
      <c r="T847" s="22" t="n"/>
      <c r="U847" s="22" t="n"/>
      <c r="V847" s="22" t="n"/>
      <c r="W847" s="22" t="n"/>
      <c r="X847" s="22" t="n"/>
      <c r="Y847" s="22" t="n"/>
      <c r="Z847" s="22" t="n"/>
      <c r="AA847" s="22" t="n"/>
    </row>
    <row r="848" ht="11.25" customHeight="1">
      <c r="A848" s="22" t="n"/>
      <c r="B848" s="22" t="n"/>
      <c r="C848" s="22" t="n"/>
      <c r="D848" s="26" t="n"/>
      <c r="E848" s="27" t="n"/>
      <c r="F848" s="27" t="n"/>
      <c r="G848" s="22" t="n"/>
      <c r="H848" s="22" t="n"/>
      <c r="I848" s="22" t="n"/>
      <c r="J848" s="22" t="n"/>
      <c r="K848" s="22" t="n"/>
      <c r="L848" s="22" t="n"/>
      <c r="M848" s="22" t="n"/>
      <c r="N848" s="22" t="n"/>
      <c r="O848" s="22" t="n"/>
      <c r="P848" s="22" t="n"/>
      <c r="Q848" s="22" t="n"/>
      <c r="R848" s="22" t="n"/>
      <c r="S848" s="22" t="n"/>
      <c r="T848" s="22" t="n"/>
      <c r="U848" s="22" t="n"/>
      <c r="V848" s="22" t="n"/>
      <c r="W848" s="22" t="n"/>
      <c r="X848" s="22" t="n"/>
      <c r="Y848" s="22" t="n"/>
      <c r="Z848" s="22" t="n"/>
      <c r="AA848" s="22" t="n"/>
    </row>
    <row r="849" ht="11.25" customHeight="1">
      <c r="A849" s="22" t="n"/>
      <c r="B849" s="22" t="n"/>
      <c r="C849" s="22" t="n"/>
      <c r="D849" s="26" t="n"/>
      <c r="E849" s="27" t="n"/>
      <c r="F849" s="27" t="n"/>
      <c r="G849" s="22" t="n"/>
      <c r="H849" s="22" t="n"/>
      <c r="I849" s="22" t="n"/>
      <c r="J849" s="22" t="n"/>
      <c r="K849" s="22" t="n"/>
      <c r="L849" s="22" t="n"/>
      <c r="M849" s="22" t="n"/>
      <c r="N849" s="22" t="n"/>
      <c r="O849" s="22" t="n"/>
      <c r="P849" s="22" t="n"/>
      <c r="Q849" s="22" t="n"/>
      <c r="R849" s="22" t="n"/>
      <c r="S849" s="22" t="n"/>
      <c r="T849" s="22" t="n"/>
      <c r="U849" s="22" t="n"/>
      <c r="V849" s="22" t="n"/>
      <c r="W849" s="22" t="n"/>
      <c r="X849" s="22" t="n"/>
      <c r="Y849" s="22" t="n"/>
      <c r="Z849" s="22" t="n"/>
      <c r="AA849" s="22" t="n"/>
    </row>
    <row r="850" ht="11.25" customHeight="1">
      <c r="A850" s="22" t="n"/>
      <c r="B850" s="22" t="n"/>
      <c r="C850" s="22" t="n"/>
      <c r="D850" s="26" t="n"/>
      <c r="E850" s="27" t="n"/>
      <c r="F850" s="27" t="n"/>
      <c r="G850" s="22" t="n"/>
      <c r="H850" s="22" t="n"/>
      <c r="I850" s="22" t="n"/>
      <c r="J850" s="22" t="n"/>
      <c r="K850" s="22" t="n"/>
      <c r="L850" s="22" t="n"/>
      <c r="M850" s="22" t="n"/>
      <c r="N850" s="22" t="n"/>
      <c r="O850" s="22" t="n"/>
      <c r="P850" s="22" t="n"/>
      <c r="Q850" s="22" t="n"/>
      <c r="R850" s="22" t="n"/>
      <c r="S850" s="22" t="n"/>
      <c r="T850" s="22" t="n"/>
      <c r="U850" s="22" t="n"/>
      <c r="V850" s="22" t="n"/>
      <c r="W850" s="22" t="n"/>
      <c r="X850" s="22" t="n"/>
      <c r="Y850" s="22" t="n"/>
      <c r="Z850" s="22" t="n"/>
      <c r="AA850" s="22" t="n"/>
    </row>
    <row r="851" ht="11.25" customHeight="1">
      <c r="A851" s="22" t="n"/>
      <c r="B851" s="22" t="n"/>
      <c r="C851" s="22" t="n"/>
      <c r="D851" s="26" t="n"/>
      <c r="E851" s="27" t="n"/>
      <c r="F851" s="27" t="n"/>
      <c r="G851" s="22" t="n"/>
      <c r="H851" s="22" t="n"/>
      <c r="I851" s="22" t="n"/>
      <c r="J851" s="22" t="n"/>
      <c r="K851" s="22" t="n"/>
      <c r="L851" s="22" t="n"/>
      <c r="M851" s="22" t="n"/>
      <c r="N851" s="22" t="n"/>
      <c r="O851" s="22" t="n"/>
      <c r="P851" s="22" t="n"/>
      <c r="Q851" s="22" t="n"/>
      <c r="R851" s="22" t="n"/>
      <c r="S851" s="22" t="n"/>
      <c r="T851" s="22" t="n"/>
      <c r="U851" s="22" t="n"/>
      <c r="V851" s="22" t="n"/>
      <c r="W851" s="22" t="n"/>
      <c r="X851" s="22" t="n"/>
      <c r="Y851" s="22" t="n"/>
      <c r="Z851" s="22" t="n"/>
      <c r="AA851" s="22" t="n"/>
    </row>
    <row r="852" ht="11.25" customHeight="1">
      <c r="A852" s="22" t="n"/>
      <c r="B852" s="22" t="n"/>
      <c r="C852" s="22" t="n"/>
      <c r="D852" s="26" t="n"/>
      <c r="E852" s="27" t="n"/>
      <c r="F852" s="27" t="n"/>
      <c r="G852" s="22" t="n"/>
      <c r="H852" s="22" t="n"/>
      <c r="I852" s="22" t="n"/>
      <c r="J852" s="22" t="n"/>
      <c r="K852" s="22" t="n"/>
      <c r="L852" s="22" t="n"/>
      <c r="M852" s="22" t="n"/>
      <c r="N852" s="22" t="n"/>
      <c r="O852" s="22" t="n"/>
      <c r="P852" s="22" t="n"/>
      <c r="Q852" s="22" t="n"/>
      <c r="R852" s="22" t="n"/>
      <c r="S852" s="22" t="n"/>
      <c r="T852" s="22" t="n"/>
      <c r="U852" s="22" t="n"/>
      <c r="V852" s="22" t="n"/>
      <c r="W852" s="22" t="n"/>
      <c r="X852" s="22" t="n"/>
      <c r="Y852" s="22" t="n"/>
      <c r="Z852" s="22" t="n"/>
      <c r="AA852" s="22" t="n"/>
    </row>
    <row r="853" ht="11.25" customHeight="1">
      <c r="A853" s="22" t="n"/>
      <c r="B853" s="22" t="n"/>
      <c r="C853" s="22" t="n"/>
      <c r="D853" s="26" t="n"/>
      <c r="E853" s="27" t="n"/>
      <c r="F853" s="27" t="n"/>
      <c r="G853" s="22" t="n"/>
      <c r="H853" s="22" t="n"/>
      <c r="I853" s="22" t="n"/>
      <c r="J853" s="22" t="n"/>
      <c r="K853" s="22" t="n"/>
      <c r="L853" s="22" t="n"/>
      <c r="M853" s="22" t="n"/>
      <c r="N853" s="22" t="n"/>
      <c r="O853" s="22" t="n"/>
      <c r="P853" s="22" t="n"/>
      <c r="Q853" s="22" t="n"/>
      <c r="R853" s="22" t="n"/>
      <c r="S853" s="22" t="n"/>
      <c r="T853" s="22" t="n"/>
      <c r="U853" s="22" t="n"/>
      <c r="V853" s="22" t="n"/>
      <c r="W853" s="22" t="n"/>
      <c r="X853" s="22" t="n"/>
      <c r="Y853" s="22" t="n"/>
      <c r="Z853" s="22" t="n"/>
      <c r="AA853" s="22" t="n"/>
    </row>
    <row r="854" ht="11.25" customHeight="1">
      <c r="A854" s="22" t="n"/>
      <c r="B854" s="22" t="n"/>
      <c r="C854" s="22" t="n"/>
      <c r="D854" s="26" t="n"/>
      <c r="E854" s="27" t="n"/>
      <c r="F854" s="27" t="n"/>
      <c r="G854" s="22" t="n"/>
      <c r="H854" s="22" t="n"/>
      <c r="I854" s="22" t="n"/>
      <c r="J854" s="22" t="n"/>
      <c r="K854" s="22" t="n"/>
      <c r="L854" s="22" t="n"/>
      <c r="M854" s="22" t="n"/>
      <c r="N854" s="22" t="n"/>
      <c r="O854" s="22" t="n"/>
      <c r="P854" s="22" t="n"/>
      <c r="Q854" s="22" t="n"/>
      <c r="R854" s="22" t="n"/>
      <c r="S854" s="22" t="n"/>
      <c r="T854" s="22" t="n"/>
      <c r="U854" s="22" t="n"/>
      <c r="V854" s="22" t="n"/>
      <c r="W854" s="22" t="n"/>
      <c r="X854" s="22" t="n"/>
      <c r="Y854" s="22" t="n"/>
      <c r="Z854" s="22" t="n"/>
      <c r="AA854" s="22" t="n"/>
    </row>
    <row r="855" ht="11.25" customHeight="1">
      <c r="A855" s="22" t="n"/>
      <c r="B855" s="22" t="n"/>
      <c r="C855" s="22" t="n"/>
      <c r="D855" s="26" t="n"/>
      <c r="E855" s="27" t="n"/>
      <c r="F855" s="27" t="n"/>
      <c r="G855" s="22" t="n"/>
      <c r="H855" s="22" t="n"/>
      <c r="I855" s="22" t="n"/>
      <c r="J855" s="22" t="n"/>
      <c r="K855" s="22" t="n"/>
      <c r="L855" s="22" t="n"/>
      <c r="M855" s="22" t="n"/>
      <c r="N855" s="22" t="n"/>
      <c r="O855" s="22" t="n"/>
      <c r="P855" s="22" t="n"/>
      <c r="Q855" s="22" t="n"/>
      <c r="R855" s="22" t="n"/>
      <c r="S855" s="22" t="n"/>
      <c r="T855" s="22" t="n"/>
      <c r="U855" s="22" t="n"/>
      <c r="V855" s="22" t="n"/>
      <c r="W855" s="22" t="n"/>
      <c r="X855" s="22" t="n"/>
      <c r="Y855" s="22" t="n"/>
      <c r="Z855" s="22" t="n"/>
      <c r="AA855" s="22" t="n"/>
    </row>
    <row r="856" ht="11.25" customHeight="1">
      <c r="A856" s="22" t="n"/>
      <c r="B856" s="22" t="n"/>
      <c r="C856" s="22" t="n"/>
      <c r="D856" s="26" t="n"/>
      <c r="E856" s="27" t="n"/>
      <c r="F856" s="27" t="n"/>
      <c r="G856" s="22" t="n"/>
      <c r="H856" s="22" t="n"/>
      <c r="I856" s="22" t="n"/>
      <c r="J856" s="22" t="n"/>
      <c r="K856" s="22" t="n"/>
      <c r="L856" s="22" t="n"/>
      <c r="M856" s="22" t="n"/>
      <c r="N856" s="22" t="n"/>
      <c r="O856" s="22" t="n"/>
      <c r="P856" s="22" t="n"/>
      <c r="Q856" s="22" t="n"/>
      <c r="R856" s="22" t="n"/>
      <c r="S856" s="22" t="n"/>
      <c r="T856" s="22" t="n"/>
      <c r="U856" s="22" t="n"/>
      <c r="V856" s="22" t="n"/>
      <c r="W856" s="22" t="n"/>
      <c r="X856" s="22" t="n"/>
      <c r="Y856" s="22" t="n"/>
      <c r="Z856" s="22" t="n"/>
      <c r="AA856" s="22" t="n"/>
    </row>
    <row r="857" ht="11.25" customHeight="1">
      <c r="A857" s="22" t="n"/>
      <c r="B857" s="22" t="n"/>
      <c r="C857" s="22" t="n"/>
      <c r="D857" s="26" t="n"/>
      <c r="E857" s="27" t="n"/>
      <c r="F857" s="27" t="n"/>
      <c r="G857" s="22" t="n"/>
      <c r="H857" s="22" t="n"/>
      <c r="I857" s="22" t="n"/>
      <c r="J857" s="22" t="n"/>
      <c r="K857" s="22" t="n"/>
      <c r="L857" s="22" t="n"/>
      <c r="M857" s="22" t="n"/>
      <c r="N857" s="22" t="n"/>
      <c r="O857" s="22" t="n"/>
      <c r="P857" s="22" t="n"/>
      <c r="Q857" s="22" t="n"/>
      <c r="R857" s="22" t="n"/>
      <c r="S857" s="22" t="n"/>
      <c r="T857" s="22" t="n"/>
      <c r="U857" s="22" t="n"/>
      <c r="V857" s="22" t="n"/>
      <c r="W857" s="22" t="n"/>
      <c r="X857" s="22" t="n"/>
      <c r="Y857" s="22" t="n"/>
      <c r="Z857" s="22" t="n"/>
      <c r="AA857" s="22" t="n"/>
    </row>
    <row r="858" ht="11.25" customHeight="1">
      <c r="A858" s="22" t="n"/>
      <c r="B858" s="22" t="n"/>
      <c r="C858" s="22" t="n"/>
      <c r="D858" s="26" t="n"/>
      <c r="E858" s="27" t="n"/>
      <c r="F858" s="27" t="n"/>
      <c r="G858" s="22" t="n"/>
      <c r="H858" s="22" t="n"/>
      <c r="I858" s="22" t="n"/>
      <c r="J858" s="22" t="n"/>
      <c r="K858" s="22" t="n"/>
      <c r="L858" s="22" t="n"/>
      <c r="M858" s="22" t="n"/>
      <c r="N858" s="22" t="n"/>
      <c r="O858" s="22" t="n"/>
      <c r="P858" s="22" t="n"/>
      <c r="Q858" s="22" t="n"/>
      <c r="R858" s="22" t="n"/>
      <c r="S858" s="22" t="n"/>
      <c r="T858" s="22" t="n"/>
      <c r="U858" s="22" t="n"/>
      <c r="V858" s="22" t="n"/>
      <c r="W858" s="22" t="n"/>
      <c r="X858" s="22" t="n"/>
      <c r="Y858" s="22" t="n"/>
      <c r="Z858" s="22" t="n"/>
      <c r="AA858" s="22" t="n"/>
    </row>
    <row r="859" ht="11.25" customHeight="1">
      <c r="A859" s="22" t="n"/>
      <c r="B859" s="22" t="n"/>
      <c r="C859" s="22" t="n"/>
      <c r="D859" s="26" t="n"/>
      <c r="E859" s="27" t="n"/>
      <c r="F859" s="27" t="n"/>
      <c r="G859" s="22" t="n"/>
      <c r="H859" s="22" t="n"/>
      <c r="I859" s="22" t="n"/>
      <c r="J859" s="22" t="n"/>
      <c r="K859" s="22" t="n"/>
      <c r="L859" s="22" t="n"/>
      <c r="M859" s="22" t="n"/>
      <c r="N859" s="22" t="n"/>
      <c r="O859" s="22" t="n"/>
      <c r="P859" s="22" t="n"/>
      <c r="Q859" s="22" t="n"/>
      <c r="R859" s="22" t="n"/>
      <c r="S859" s="22" t="n"/>
      <c r="T859" s="22" t="n"/>
      <c r="U859" s="22" t="n"/>
      <c r="V859" s="22" t="n"/>
      <c r="W859" s="22" t="n"/>
      <c r="X859" s="22" t="n"/>
      <c r="Y859" s="22" t="n"/>
      <c r="Z859" s="22" t="n"/>
      <c r="AA859" s="22" t="n"/>
    </row>
    <row r="860" ht="11.25" customHeight="1">
      <c r="A860" s="22" t="n"/>
      <c r="B860" s="22" t="n"/>
      <c r="C860" s="22" t="n"/>
      <c r="D860" s="26" t="n"/>
      <c r="E860" s="27" t="n"/>
      <c r="F860" s="27" t="n"/>
      <c r="G860" s="22" t="n"/>
      <c r="H860" s="22" t="n"/>
      <c r="I860" s="22" t="n"/>
      <c r="J860" s="22" t="n"/>
      <c r="K860" s="22" t="n"/>
      <c r="L860" s="22" t="n"/>
      <c r="M860" s="22" t="n"/>
      <c r="N860" s="22" t="n"/>
      <c r="O860" s="22" t="n"/>
      <c r="P860" s="22" t="n"/>
      <c r="Q860" s="22" t="n"/>
      <c r="R860" s="22" t="n"/>
      <c r="S860" s="22" t="n"/>
      <c r="T860" s="22" t="n"/>
      <c r="U860" s="22" t="n"/>
      <c r="V860" s="22" t="n"/>
      <c r="W860" s="22" t="n"/>
      <c r="X860" s="22" t="n"/>
      <c r="Y860" s="22" t="n"/>
      <c r="Z860" s="22" t="n"/>
      <c r="AA860" s="22" t="n"/>
    </row>
    <row r="861" ht="11.25" customHeight="1">
      <c r="A861" s="22" t="n"/>
      <c r="B861" s="22" t="n"/>
      <c r="C861" s="22" t="n"/>
      <c r="D861" s="26" t="n"/>
      <c r="E861" s="27" t="n"/>
      <c r="F861" s="27" t="n"/>
      <c r="G861" s="22" t="n"/>
      <c r="H861" s="22" t="n"/>
      <c r="I861" s="22" t="n"/>
      <c r="J861" s="22" t="n"/>
      <c r="K861" s="22" t="n"/>
      <c r="L861" s="22" t="n"/>
      <c r="M861" s="22" t="n"/>
      <c r="N861" s="22" t="n"/>
      <c r="O861" s="22" t="n"/>
      <c r="P861" s="22" t="n"/>
      <c r="Q861" s="22" t="n"/>
      <c r="R861" s="22" t="n"/>
      <c r="S861" s="22" t="n"/>
      <c r="T861" s="22" t="n"/>
      <c r="U861" s="22" t="n"/>
      <c r="V861" s="22" t="n"/>
      <c r="W861" s="22" t="n"/>
      <c r="X861" s="22" t="n"/>
      <c r="Y861" s="22" t="n"/>
      <c r="Z861" s="22" t="n"/>
      <c r="AA861" s="22" t="n"/>
    </row>
    <row r="862" ht="11.25" customHeight="1">
      <c r="A862" s="22" t="n"/>
      <c r="B862" s="22" t="n"/>
      <c r="C862" s="22" t="n"/>
      <c r="D862" s="26" t="n"/>
      <c r="E862" s="27" t="n"/>
      <c r="F862" s="27" t="n"/>
      <c r="G862" s="22" t="n"/>
      <c r="H862" s="22" t="n"/>
      <c r="I862" s="22" t="n"/>
      <c r="J862" s="22" t="n"/>
      <c r="K862" s="22" t="n"/>
      <c r="L862" s="22" t="n"/>
      <c r="M862" s="22" t="n"/>
      <c r="N862" s="22" t="n"/>
      <c r="O862" s="22" t="n"/>
      <c r="P862" s="22" t="n"/>
      <c r="Q862" s="22" t="n"/>
      <c r="R862" s="22" t="n"/>
      <c r="S862" s="22" t="n"/>
      <c r="T862" s="22" t="n"/>
      <c r="U862" s="22" t="n"/>
      <c r="V862" s="22" t="n"/>
      <c r="W862" s="22" t="n"/>
      <c r="X862" s="22" t="n"/>
      <c r="Y862" s="22" t="n"/>
      <c r="Z862" s="22" t="n"/>
      <c r="AA862" s="22" t="n"/>
    </row>
    <row r="863" ht="11.25" customHeight="1">
      <c r="A863" s="22" t="n"/>
      <c r="B863" s="22" t="n"/>
      <c r="C863" s="22" t="n"/>
      <c r="D863" s="26" t="n"/>
      <c r="E863" s="27" t="n"/>
      <c r="F863" s="27" t="n"/>
      <c r="G863" s="22" t="n"/>
      <c r="H863" s="22" t="n"/>
      <c r="I863" s="22" t="n"/>
      <c r="J863" s="22" t="n"/>
      <c r="K863" s="22" t="n"/>
      <c r="L863" s="22" t="n"/>
      <c r="M863" s="22" t="n"/>
      <c r="N863" s="22" t="n"/>
      <c r="O863" s="22" t="n"/>
      <c r="P863" s="22" t="n"/>
      <c r="Q863" s="22" t="n"/>
      <c r="R863" s="22" t="n"/>
      <c r="S863" s="22" t="n"/>
      <c r="T863" s="22" t="n"/>
      <c r="U863" s="22" t="n"/>
      <c r="V863" s="22" t="n"/>
      <c r="W863" s="22" t="n"/>
      <c r="X863" s="22" t="n"/>
      <c r="Y863" s="22" t="n"/>
      <c r="Z863" s="22" t="n"/>
      <c r="AA863" s="22" t="n"/>
    </row>
    <row r="864" ht="11.25" customHeight="1">
      <c r="A864" s="22" t="n"/>
      <c r="B864" s="22" t="n"/>
      <c r="C864" s="22" t="n"/>
      <c r="D864" s="26" t="n"/>
      <c r="E864" s="27" t="n"/>
      <c r="F864" s="27" t="n"/>
      <c r="G864" s="22" t="n"/>
      <c r="H864" s="22" t="n"/>
      <c r="I864" s="22" t="n"/>
      <c r="J864" s="22" t="n"/>
      <c r="K864" s="22" t="n"/>
      <c r="L864" s="22" t="n"/>
      <c r="M864" s="22" t="n"/>
      <c r="N864" s="22" t="n"/>
      <c r="O864" s="22" t="n"/>
      <c r="P864" s="22" t="n"/>
      <c r="Q864" s="22" t="n"/>
      <c r="R864" s="22" t="n"/>
      <c r="S864" s="22" t="n"/>
      <c r="T864" s="22" t="n"/>
      <c r="U864" s="22" t="n"/>
      <c r="V864" s="22" t="n"/>
      <c r="W864" s="22" t="n"/>
      <c r="X864" s="22" t="n"/>
      <c r="Y864" s="22" t="n"/>
      <c r="Z864" s="22" t="n"/>
      <c r="AA864" s="22" t="n"/>
    </row>
    <row r="865" ht="11.25" customHeight="1">
      <c r="A865" s="22" t="n"/>
      <c r="B865" s="22" t="n"/>
      <c r="C865" s="22" t="n"/>
      <c r="D865" s="26" t="n"/>
      <c r="E865" s="27" t="n"/>
      <c r="F865" s="27" t="n"/>
      <c r="G865" s="22" t="n"/>
      <c r="H865" s="22" t="n"/>
      <c r="I865" s="22" t="n"/>
      <c r="J865" s="22" t="n"/>
      <c r="K865" s="22" t="n"/>
      <c r="L865" s="22" t="n"/>
      <c r="M865" s="22" t="n"/>
      <c r="N865" s="22" t="n"/>
      <c r="O865" s="22" t="n"/>
      <c r="P865" s="22" t="n"/>
      <c r="Q865" s="22" t="n"/>
      <c r="R865" s="22" t="n"/>
      <c r="S865" s="22" t="n"/>
      <c r="T865" s="22" t="n"/>
      <c r="U865" s="22" t="n"/>
      <c r="V865" s="22" t="n"/>
      <c r="W865" s="22" t="n"/>
      <c r="X865" s="22" t="n"/>
      <c r="Y865" s="22" t="n"/>
      <c r="Z865" s="22" t="n"/>
      <c r="AA865" s="22" t="n"/>
    </row>
    <row r="866" ht="11.25" customHeight="1">
      <c r="A866" s="22" t="n"/>
      <c r="B866" s="22" t="n"/>
      <c r="C866" s="22" t="n"/>
      <c r="D866" s="26" t="n"/>
      <c r="E866" s="27" t="n"/>
      <c r="F866" s="27" t="n"/>
      <c r="G866" s="22" t="n"/>
      <c r="H866" s="22" t="n"/>
      <c r="I866" s="22" t="n"/>
      <c r="J866" s="22" t="n"/>
      <c r="K866" s="22" t="n"/>
      <c r="L866" s="22" t="n"/>
      <c r="M866" s="22" t="n"/>
      <c r="N866" s="22" t="n"/>
      <c r="O866" s="22" t="n"/>
      <c r="P866" s="22" t="n"/>
      <c r="Q866" s="22" t="n"/>
      <c r="R866" s="22" t="n"/>
      <c r="S866" s="22" t="n"/>
      <c r="T866" s="22" t="n"/>
      <c r="U866" s="22" t="n"/>
      <c r="V866" s="22" t="n"/>
      <c r="W866" s="22" t="n"/>
      <c r="X866" s="22" t="n"/>
      <c r="Y866" s="22" t="n"/>
      <c r="Z866" s="22" t="n"/>
      <c r="AA866" s="22" t="n"/>
    </row>
    <row r="867" ht="11.25" customHeight="1">
      <c r="A867" s="22" t="n"/>
      <c r="B867" s="22" t="n"/>
      <c r="C867" s="22" t="n"/>
      <c r="D867" s="26" t="n"/>
      <c r="E867" s="27" t="n"/>
      <c r="F867" s="27" t="n"/>
      <c r="G867" s="22" t="n"/>
      <c r="H867" s="22" t="n"/>
      <c r="I867" s="22" t="n"/>
      <c r="J867" s="22" t="n"/>
      <c r="K867" s="22" t="n"/>
      <c r="L867" s="22" t="n"/>
      <c r="M867" s="22" t="n"/>
      <c r="N867" s="22" t="n"/>
      <c r="O867" s="22" t="n"/>
      <c r="P867" s="22" t="n"/>
      <c r="Q867" s="22" t="n"/>
      <c r="R867" s="22" t="n"/>
      <c r="S867" s="22" t="n"/>
      <c r="T867" s="22" t="n"/>
      <c r="U867" s="22" t="n"/>
      <c r="V867" s="22" t="n"/>
      <c r="W867" s="22" t="n"/>
      <c r="X867" s="22" t="n"/>
      <c r="Y867" s="22" t="n"/>
      <c r="Z867" s="22" t="n"/>
      <c r="AA867" s="22" t="n"/>
    </row>
    <row r="868" ht="11.25" customHeight="1">
      <c r="A868" s="22" t="n"/>
      <c r="B868" s="22" t="n"/>
      <c r="C868" s="22" t="n"/>
      <c r="D868" s="26" t="n"/>
      <c r="E868" s="27" t="n"/>
      <c r="F868" s="27" t="n"/>
      <c r="G868" s="22" t="n"/>
      <c r="H868" s="22" t="n"/>
      <c r="I868" s="22" t="n"/>
      <c r="J868" s="22" t="n"/>
      <c r="K868" s="22" t="n"/>
      <c r="L868" s="22" t="n"/>
      <c r="M868" s="22" t="n"/>
      <c r="N868" s="22" t="n"/>
      <c r="O868" s="22" t="n"/>
      <c r="P868" s="22" t="n"/>
      <c r="Q868" s="22" t="n"/>
      <c r="R868" s="22" t="n"/>
      <c r="S868" s="22" t="n"/>
      <c r="T868" s="22" t="n"/>
      <c r="U868" s="22" t="n"/>
      <c r="V868" s="22" t="n"/>
      <c r="W868" s="22" t="n"/>
      <c r="X868" s="22" t="n"/>
      <c r="Y868" s="22" t="n"/>
      <c r="Z868" s="22" t="n"/>
      <c r="AA868" s="22" t="n"/>
    </row>
    <row r="869" ht="11.25" customHeight="1">
      <c r="A869" s="22" t="n"/>
      <c r="B869" s="22" t="n"/>
      <c r="C869" s="22" t="n"/>
      <c r="D869" s="26" t="n"/>
      <c r="E869" s="27" t="n"/>
      <c r="F869" s="27" t="n"/>
      <c r="G869" s="22" t="n"/>
      <c r="H869" s="22" t="n"/>
      <c r="I869" s="22" t="n"/>
      <c r="J869" s="22" t="n"/>
      <c r="K869" s="22" t="n"/>
      <c r="L869" s="22" t="n"/>
      <c r="M869" s="22" t="n"/>
      <c r="N869" s="22" t="n"/>
      <c r="O869" s="22" t="n"/>
      <c r="P869" s="22" t="n"/>
      <c r="Q869" s="22" t="n"/>
      <c r="R869" s="22" t="n"/>
      <c r="S869" s="22" t="n"/>
      <c r="T869" s="22" t="n"/>
      <c r="U869" s="22" t="n"/>
      <c r="V869" s="22" t="n"/>
      <c r="W869" s="22" t="n"/>
      <c r="X869" s="22" t="n"/>
      <c r="Y869" s="22" t="n"/>
      <c r="Z869" s="22" t="n"/>
      <c r="AA869" s="22" t="n"/>
    </row>
    <row r="870" ht="11.25" customHeight="1">
      <c r="A870" s="22" t="n"/>
      <c r="B870" s="22" t="n"/>
      <c r="C870" s="22" t="n"/>
      <c r="D870" s="26" t="n"/>
      <c r="E870" s="27" t="n"/>
      <c r="F870" s="27" t="n"/>
      <c r="G870" s="22" t="n"/>
      <c r="H870" s="22" t="n"/>
      <c r="I870" s="22" t="n"/>
      <c r="J870" s="22" t="n"/>
      <c r="K870" s="22" t="n"/>
      <c r="L870" s="22" t="n"/>
      <c r="M870" s="22" t="n"/>
      <c r="N870" s="22" t="n"/>
      <c r="O870" s="22" t="n"/>
      <c r="P870" s="22" t="n"/>
      <c r="Q870" s="22" t="n"/>
      <c r="R870" s="22" t="n"/>
      <c r="S870" s="22" t="n"/>
      <c r="T870" s="22" t="n"/>
      <c r="U870" s="22" t="n"/>
      <c r="V870" s="22" t="n"/>
      <c r="W870" s="22" t="n"/>
      <c r="X870" s="22" t="n"/>
      <c r="Y870" s="22" t="n"/>
      <c r="Z870" s="22" t="n"/>
      <c r="AA870" s="22" t="n"/>
    </row>
    <row r="871" ht="11.25" customHeight="1">
      <c r="A871" s="22" t="n"/>
      <c r="B871" s="22" t="n"/>
      <c r="C871" s="22" t="n"/>
      <c r="D871" s="26" t="n"/>
      <c r="E871" s="27" t="n"/>
      <c r="F871" s="27" t="n"/>
      <c r="G871" s="22" t="n"/>
      <c r="H871" s="22" t="n"/>
      <c r="I871" s="22" t="n"/>
      <c r="J871" s="22" t="n"/>
      <c r="K871" s="22" t="n"/>
      <c r="L871" s="22" t="n"/>
      <c r="M871" s="22" t="n"/>
      <c r="N871" s="22" t="n"/>
      <c r="O871" s="22" t="n"/>
      <c r="P871" s="22" t="n"/>
      <c r="Q871" s="22" t="n"/>
      <c r="R871" s="22" t="n"/>
      <c r="S871" s="22" t="n"/>
      <c r="T871" s="22" t="n"/>
      <c r="U871" s="22" t="n"/>
      <c r="V871" s="22" t="n"/>
      <c r="W871" s="22" t="n"/>
      <c r="X871" s="22" t="n"/>
      <c r="Y871" s="22" t="n"/>
      <c r="Z871" s="22" t="n"/>
      <c r="AA871" s="22" t="n"/>
    </row>
    <row r="872" ht="11.25" customHeight="1">
      <c r="A872" s="22" t="n"/>
      <c r="B872" s="22" t="n"/>
      <c r="C872" s="22" t="n"/>
      <c r="D872" s="26" t="n"/>
      <c r="E872" s="27" t="n"/>
      <c r="F872" s="27" t="n"/>
      <c r="G872" s="22" t="n"/>
      <c r="H872" s="22" t="n"/>
      <c r="I872" s="22" t="n"/>
      <c r="J872" s="22" t="n"/>
      <c r="K872" s="22" t="n"/>
      <c r="L872" s="22" t="n"/>
      <c r="M872" s="22" t="n"/>
      <c r="N872" s="22" t="n"/>
      <c r="O872" s="22" t="n"/>
      <c r="P872" s="22" t="n"/>
      <c r="Q872" s="22" t="n"/>
      <c r="R872" s="22" t="n"/>
      <c r="S872" s="22" t="n"/>
      <c r="T872" s="22" t="n"/>
      <c r="U872" s="22" t="n"/>
      <c r="V872" s="22" t="n"/>
      <c r="W872" s="22" t="n"/>
      <c r="X872" s="22" t="n"/>
      <c r="Y872" s="22" t="n"/>
      <c r="Z872" s="22" t="n"/>
      <c r="AA872" s="22" t="n"/>
    </row>
    <row r="873" ht="11.25" customHeight="1">
      <c r="A873" s="22" t="n"/>
      <c r="B873" s="22" t="n"/>
      <c r="C873" s="22" t="n"/>
      <c r="D873" s="26" t="n"/>
      <c r="E873" s="27" t="n"/>
      <c r="F873" s="27" t="n"/>
      <c r="G873" s="22" t="n"/>
      <c r="H873" s="22" t="n"/>
      <c r="I873" s="22" t="n"/>
      <c r="J873" s="22" t="n"/>
      <c r="K873" s="22" t="n"/>
      <c r="L873" s="22" t="n"/>
      <c r="M873" s="22" t="n"/>
      <c r="N873" s="22" t="n"/>
      <c r="O873" s="22" t="n"/>
      <c r="P873" s="22" t="n"/>
      <c r="Q873" s="22" t="n"/>
      <c r="R873" s="22" t="n"/>
      <c r="S873" s="22" t="n"/>
      <c r="T873" s="22" t="n"/>
      <c r="U873" s="22" t="n"/>
      <c r="V873" s="22" t="n"/>
      <c r="W873" s="22" t="n"/>
      <c r="X873" s="22" t="n"/>
      <c r="Y873" s="22" t="n"/>
      <c r="Z873" s="22" t="n"/>
      <c r="AA873" s="22" t="n"/>
    </row>
    <row r="874" ht="11.25" customHeight="1">
      <c r="A874" s="22" t="n"/>
      <c r="B874" s="22" t="n"/>
      <c r="C874" s="22" t="n"/>
      <c r="D874" s="26" t="n"/>
      <c r="E874" s="27" t="n"/>
      <c r="F874" s="27" t="n"/>
      <c r="G874" s="22" t="n"/>
      <c r="H874" s="22" t="n"/>
      <c r="I874" s="22" t="n"/>
      <c r="J874" s="22" t="n"/>
      <c r="K874" s="22" t="n"/>
      <c r="L874" s="22" t="n"/>
      <c r="M874" s="22" t="n"/>
      <c r="N874" s="22" t="n"/>
      <c r="O874" s="22" t="n"/>
      <c r="P874" s="22" t="n"/>
      <c r="Q874" s="22" t="n"/>
      <c r="R874" s="22" t="n"/>
      <c r="S874" s="22" t="n"/>
      <c r="T874" s="22" t="n"/>
      <c r="U874" s="22" t="n"/>
      <c r="V874" s="22" t="n"/>
      <c r="W874" s="22" t="n"/>
      <c r="X874" s="22" t="n"/>
      <c r="Y874" s="22" t="n"/>
      <c r="Z874" s="22" t="n"/>
      <c r="AA874" s="22" t="n"/>
    </row>
    <row r="875" ht="11.25" customHeight="1">
      <c r="A875" s="22" t="n"/>
      <c r="B875" s="22" t="n"/>
      <c r="C875" s="22" t="n"/>
      <c r="D875" s="26" t="n"/>
      <c r="E875" s="27" t="n"/>
      <c r="F875" s="27" t="n"/>
      <c r="G875" s="22" t="n"/>
      <c r="H875" s="22" t="n"/>
      <c r="I875" s="22" t="n"/>
      <c r="J875" s="22" t="n"/>
      <c r="K875" s="22" t="n"/>
      <c r="L875" s="22" t="n"/>
      <c r="M875" s="22" t="n"/>
      <c r="N875" s="22" t="n"/>
      <c r="O875" s="22" t="n"/>
      <c r="P875" s="22" t="n"/>
      <c r="Q875" s="22" t="n"/>
      <c r="R875" s="22" t="n"/>
      <c r="S875" s="22" t="n"/>
      <c r="T875" s="22" t="n"/>
      <c r="U875" s="22" t="n"/>
      <c r="V875" s="22" t="n"/>
      <c r="W875" s="22" t="n"/>
      <c r="X875" s="22" t="n"/>
      <c r="Y875" s="22" t="n"/>
      <c r="Z875" s="22" t="n"/>
      <c r="AA875" s="22" t="n"/>
    </row>
    <row r="876" ht="11.25" customHeight="1">
      <c r="A876" s="22" t="n"/>
      <c r="B876" s="22" t="n"/>
      <c r="C876" s="22" t="n"/>
      <c r="D876" s="26" t="n"/>
      <c r="E876" s="27" t="n"/>
      <c r="F876" s="27" t="n"/>
      <c r="G876" s="22" t="n"/>
      <c r="H876" s="22" t="n"/>
      <c r="I876" s="22" t="n"/>
      <c r="J876" s="22" t="n"/>
      <c r="K876" s="22" t="n"/>
      <c r="L876" s="22" t="n"/>
      <c r="M876" s="22" t="n"/>
      <c r="N876" s="22" t="n"/>
      <c r="O876" s="22" t="n"/>
      <c r="P876" s="22" t="n"/>
      <c r="Q876" s="22" t="n"/>
      <c r="R876" s="22" t="n"/>
      <c r="S876" s="22" t="n"/>
      <c r="T876" s="22" t="n"/>
      <c r="U876" s="22" t="n"/>
      <c r="V876" s="22" t="n"/>
      <c r="W876" s="22" t="n"/>
      <c r="X876" s="22" t="n"/>
      <c r="Y876" s="22" t="n"/>
      <c r="Z876" s="22" t="n"/>
      <c r="AA876" s="22" t="n"/>
    </row>
    <row r="877" ht="11.25" customHeight="1">
      <c r="A877" s="22" t="n"/>
      <c r="B877" s="22" t="n"/>
      <c r="C877" s="22" t="n"/>
      <c r="D877" s="26" t="n"/>
      <c r="E877" s="27" t="n"/>
      <c r="F877" s="27" t="n"/>
      <c r="G877" s="22" t="n"/>
      <c r="H877" s="22" t="n"/>
      <c r="I877" s="22" t="n"/>
      <c r="J877" s="22" t="n"/>
      <c r="K877" s="22" t="n"/>
      <c r="L877" s="22" t="n"/>
      <c r="M877" s="22" t="n"/>
      <c r="N877" s="22" t="n"/>
      <c r="O877" s="22" t="n"/>
      <c r="P877" s="22" t="n"/>
      <c r="Q877" s="22" t="n"/>
      <c r="R877" s="22" t="n"/>
      <c r="S877" s="22" t="n"/>
      <c r="T877" s="22" t="n"/>
      <c r="U877" s="22" t="n"/>
      <c r="V877" s="22" t="n"/>
      <c r="W877" s="22" t="n"/>
      <c r="X877" s="22" t="n"/>
      <c r="Y877" s="22" t="n"/>
      <c r="Z877" s="22" t="n"/>
      <c r="AA877" s="22" t="n"/>
    </row>
    <row r="878" ht="11.25" customHeight="1">
      <c r="A878" s="22" t="n"/>
      <c r="B878" s="22" t="n"/>
      <c r="C878" s="22" t="n"/>
      <c r="D878" s="26" t="n"/>
      <c r="E878" s="27" t="n"/>
      <c r="F878" s="27" t="n"/>
      <c r="G878" s="22" t="n"/>
      <c r="H878" s="22" t="n"/>
      <c r="I878" s="22" t="n"/>
      <c r="J878" s="22" t="n"/>
      <c r="K878" s="22" t="n"/>
      <c r="L878" s="22" t="n"/>
      <c r="M878" s="22" t="n"/>
      <c r="N878" s="22" t="n"/>
      <c r="O878" s="22" t="n"/>
      <c r="P878" s="22" t="n"/>
      <c r="Q878" s="22" t="n"/>
      <c r="R878" s="22" t="n"/>
      <c r="S878" s="22" t="n"/>
      <c r="T878" s="22" t="n"/>
      <c r="U878" s="22" t="n"/>
      <c r="V878" s="22" t="n"/>
      <c r="W878" s="22" t="n"/>
      <c r="X878" s="22" t="n"/>
      <c r="Y878" s="22" t="n"/>
      <c r="Z878" s="22" t="n"/>
      <c r="AA878" s="22" t="n"/>
    </row>
    <row r="879" ht="11.25" customHeight="1">
      <c r="A879" s="22" t="n"/>
      <c r="B879" s="22" t="n"/>
      <c r="C879" s="22" t="n"/>
      <c r="D879" s="26" t="n"/>
      <c r="E879" s="27" t="n"/>
      <c r="F879" s="27" t="n"/>
      <c r="G879" s="22" t="n"/>
      <c r="H879" s="22" t="n"/>
      <c r="I879" s="22" t="n"/>
      <c r="J879" s="22" t="n"/>
      <c r="K879" s="22" t="n"/>
      <c r="L879" s="22" t="n"/>
      <c r="M879" s="22" t="n"/>
      <c r="N879" s="22" t="n"/>
      <c r="O879" s="22" t="n"/>
      <c r="P879" s="22" t="n"/>
      <c r="Q879" s="22" t="n"/>
      <c r="R879" s="22" t="n"/>
      <c r="S879" s="22" t="n"/>
      <c r="T879" s="22" t="n"/>
      <c r="U879" s="22" t="n"/>
      <c r="V879" s="22" t="n"/>
      <c r="W879" s="22" t="n"/>
      <c r="X879" s="22" t="n"/>
      <c r="Y879" s="22" t="n"/>
      <c r="Z879" s="22" t="n"/>
      <c r="AA879" s="22" t="n"/>
    </row>
    <row r="880" ht="11.25" customHeight="1">
      <c r="A880" s="22" t="n"/>
      <c r="B880" s="22" t="n"/>
      <c r="C880" s="22" t="n"/>
      <c r="D880" s="26" t="n"/>
      <c r="E880" s="27" t="n"/>
      <c r="F880" s="27" t="n"/>
      <c r="G880" s="22" t="n"/>
      <c r="H880" s="22" t="n"/>
      <c r="I880" s="22" t="n"/>
      <c r="J880" s="22" t="n"/>
      <c r="K880" s="22" t="n"/>
      <c r="L880" s="22" t="n"/>
      <c r="M880" s="22" t="n"/>
      <c r="N880" s="22" t="n"/>
      <c r="O880" s="22" t="n"/>
      <c r="P880" s="22" t="n"/>
      <c r="Q880" s="22" t="n"/>
      <c r="R880" s="22" t="n"/>
      <c r="S880" s="22" t="n"/>
      <c r="T880" s="22" t="n"/>
      <c r="U880" s="22" t="n"/>
      <c r="V880" s="22" t="n"/>
      <c r="W880" s="22" t="n"/>
      <c r="X880" s="22" t="n"/>
      <c r="Y880" s="22" t="n"/>
      <c r="Z880" s="22" t="n"/>
      <c r="AA880" s="22" t="n"/>
    </row>
    <row r="881" ht="11.25" customHeight="1">
      <c r="A881" s="22" t="n"/>
      <c r="B881" s="22" t="n"/>
      <c r="C881" s="22" t="n"/>
      <c r="D881" s="26" t="n"/>
      <c r="E881" s="27" t="n"/>
      <c r="F881" s="27" t="n"/>
      <c r="G881" s="22" t="n"/>
      <c r="H881" s="22" t="n"/>
      <c r="I881" s="22" t="n"/>
      <c r="J881" s="22" t="n"/>
      <c r="K881" s="22" t="n"/>
      <c r="L881" s="22" t="n"/>
      <c r="M881" s="22" t="n"/>
      <c r="N881" s="22" t="n"/>
      <c r="O881" s="22" t="n"/>
      <c r="P881" s="22" t="n"/>
      <c r="Q881" s="22" t="n"/>
      <c r="R881" s="22" t="n"/>
      <c r="S881" s="22" t="n"/>
      <c r="T881" s="22" t="n"/>
      <c r="U881" s="22" t="n"/>
      <c r="V881" s="22" t="n"/>
      <c r="W881" s="22" t="n"/>
      <c r="X881" s="22" t="n"/>
      <c r="Y881" s="22" t="n"/>
      <c r="Z881" s="22" t="n"/>
      <c r="AA881" s="22" t="n"/>
    </row>
    <row r="882" ht="11.25" customHeight="1">
      <c r="A882" s="22" t="n"/>
      <c r="B882" s="22" t="n"/>
      <c r="C882" s="22" t="n"/>
      <c r="D882" s="26" t="n"/>
      <c r="E882" s="27" t="n"/>
      <c r="F882" s="27" t="n"/>
      <c r="G882" s="22" t="n"/>
      <c r="H882" s="22" t="n"/>
      <c r="I882" s="22" t="n"/>
      <c r="J882" s="22" t="n"/>
      <c r="K882" s="22" t="n"/>
      <c r="L882" s="22" t="n"/>
      <c r="M882" s="22" t="n"/>
      <c r="N882" s="22" t="n"/>
      <c r="O882" s="22" t="n"/>
      <c r="P882" s="22" t="n"/>
      <c r="Q882" s="22" t="n"/>
      <c r="R882" s="22" t="n"/>
      <c r="S882" s="22" t="n"/>
      <c r="T882" s="22" t="n"/>
      <c r="U882" s="22" t="n"/>
      <c r="V882" s="22" t="n"/>
      <c r="W882" s="22" t="n"/>
      <c r="X882" s="22" t="n"/>
      <c r="Y882" s="22" t="n"/>
      <c r="Z882" s="22" t="n"/>
      <c r="AA882" s="22" t="n"/>
    </row>
    <row r="883" ht="11.25" customHeight="1">
      <c r="A883" s="22" t="n"/>
      <c r="B883" s="22" t="n"/>
      <c r="C883" s="22" t="n"/>
      <c r="D883" s="26" t="n"/>
      <c r="E883" s="27" t="n"/>
      <c r="F883" s="27" t="n"/>
      <c r="G883" s="22" t="n"/>
      <c r="H883" s="22" t="n"/>
      <c r="I883" s="22" t="n"/>
      <c r="J883" s="22" t="n"/>
      <c r="K883" s="22" t="n"/>
      <c r="L883" s="22" t="n"/>
      <c r="M883" s="22" t="n"/>
      <c r="N883" s="22" t="n"/>
      <c r="O883" s="22" t="n"/>
      <c r="P883" s="22" t="n"/>
      <c r="Q883" s="22" t="n"/>
      <c r="R883" s="22" t="n"/>
      <c r="S883" s="22" t="n"/>
      <c r="T883" s="22" t="n"/>
      <c r="U883" s="22" t="n"/>
      <c r="V883" s="22" t="n"/>
      <c r="W883" s="22" t="n"/>
      <c r="X883" s="22" t="n"/>
      <c r="Y883" s="22" t="n"/>
      <c r="Z883" s="22" t="n"/>
      <c r="AA883" s="22" t="n"/>
    </row>
    <row r="884" ht="11.25" customHeight="1">
      <c r="A884" s="22" t="n"/>
      <c r="B884" s="22" t="n"/>
      <c r="C884" s="22" t="n"/>
      <c r="D884" s="26" t="n"/>
      <c r="E884" s="27" t="n"/>
      <c r="F884" s="27" t="n"/>
      <c r="G884" s="22" t="n"/>
      <c r="H884" s="22" t="n"/>
      <c r="I884" s="22" t="n"/>
      <c r="J884" s="22" t="n"/>
      <c r="K884" s="22" t="n"/>
      <c r="L884" s="22" t="n"/>
      <c r="M884" s="22" t="n"/>
      <c r="N884" s="22" t="n"/>
      <c r="O884" s="22" t="n"/>
      <c r="P884" s="22" t="n"/>
      <c r="Q884" s="22" t="n"/>
      <c r="R884" s="22" t="n"/>
      <c r="S884" s="22" t="n"/>
      <c r="T884" s="22" t="n"/>
      <c r="U884" s="22" t="n"/>
      <c r="V884" s="22" t="n"/>
      <c r="W884" s="22" t="n"/>
      <c r="X884" s="22" t="n"/>
      <c r="Y884" s="22" t="n"/>
      <c r="Z884" s="22" t="n"/>
      <c r="AA884" s="22" t="n"/>
    </row>
    <row r="885" ht="11.25" customHeight="1">
      <c r="A885" s="22" t="n"/>
      <c r="B885" s="22" t="n"/>
      <c r="C885" s="22" t="n"/>
      <c r="D885" s="26" t="n"/>
      <c r="E885" s="27" t="n"/>
      <c r="F885" s="27" t="n"/>
      <c r="G885" s="22" t="n"/>
      <c r="H885" s="22" t="n"/>
      <c r="I885" s="22" t="n"/>
      <c r="J885" s="22" t="n"/>
      <c r="K885" s="22" t="n"/>
      <c r="L885" s="22" t="n"/>
      <c r="M885" s="22" t="n"/>
      <c r="N885" s="22" t="n"/>
      <c r="O885" s="22" t="n"/>
      <c r="P885" s="22" t="n"/>
      <c r="Q885" s="22" t="n"/>
      <c r="R885" s="22" t="n"/>
      <c r="S885" s="22" t="n"/>
      <c r="T885" s="22" t="n"/>
      <c r="U885" s="22" t="n"/>
      <c r="V885" s="22" t="n"/>
      <c r="W885" s="22" t="n"/>
      <c r="X885" s="22" t="n"/>
      <c r="Y885" s="22" t="n"/>
      <c r="Z885" s="22" t="n"/>
      <c r="AA885" s="22" t="n"/>
    </row>
    <row r="886" ht="11.25" customHeight="1">
      <c r="A886" s="22" t="n"/>
      <c r="B886" s="22" t="n"/>
      <c r="C886" s="22" t="n"/>
      <c r="D886" s="26" t="n"/>
      <c r="E886" s="27" t="n"/>
      <c r="F886" s="27" t="n"/>
      <c r="G886" s="22" t="n"/>
      <c r="H886" s="22" t="n"/>
      <c r="I886" s="22" t="n"/>
      <c r="J886" s="22" t="n"/>
      <c r="K886" s="22" t="n"/>
      <c r="L886" s="22" t="n"/>
      <c r="M886" s="22" t="n"/>
      <c r="N886" s="22" t="n"/>
      <c r="O886" s="22" t="n"/>
      <c r="P886" s="22" t="n"/>
      <c r="Q886" s="22" t="n"/>
      <c r="R886" s="22" t="n"/>
      <c r="S886" s="22" t="n"/>
      <c r="T886" s="22" t="n"/>
      <c r="U886" s="22" t="n"/>
      <c r="V886" s="22" t="n"/>
      <c r="W886" s="22" t="n"/>
      <c r="X886" s="22" t="n"/>
      <c r="Y886" s="22" t="n"/>
      <c r="Z886" s="22" t="n"/>
      <c r="AA886" s="22" t="n"/>
    </row>
    <row r="887" ht="11.25" customHeight="1">
      <c r="A887" s="22" t="n"/>
      <c r="B887" s="22" t="n"/>
      <c r="C887" s="22" t="n"/>
      <c r="D887" s="26" t="n"/>
      <c r="E887" s="27" t="n"/>
      <c r="F887" s="27" t="n"/>
      <c r="G887" s="22" t="n"/>
      <c r="H887" s="22" t="n"/>
      <c r="I887" s="22" t="n"/>
      <c r="J887" s="22" t="n"/>
      <c r="K887" s="22" t="n"/>
      <c r="L887" s="22" t="n"/>
      <c r="M887" s="22" t="n"/>
      <c r="N887" s="22" t="n"/>
      <c r="O887" s="22" t="n"/>
      <c r="P887" s="22" t="n"/>
      <c r="Q887" s="22" t="n"/>
      <c r="R887" s="22" t="n"/>
      <c r="S887" s="22" t="n"/>
      <c r="T887" s="22" t="n"/>
      <c r="U887" s="22" t="n"/>
      <c r="V887" s="22" t="n"/>
      <c r="W887" s="22" t="n"/>
      <c r="X887" s="22" t="n"/>
      <c r="Y887" s="22" t="n"/>
      <c r="Z887" s="22" t="n"/>
      <c r="AA887" s="22" t="n"/>
    </row>
    <row r="888" ht="11.25" customHeight="1">
      <c r="A888" s="22" t="n"/>
      <c r="B888" s="22" t="n"/>
      <c r="C888" s="22" t="n"/>
      <c r="D888" s="26" t="n"/>
      <c r="E888" s="27" t="n"/>
      <c r="F888" s="27" t="n"/>
      <c r="G888" s="22" t="n"/>
      <c r="H888" s="22" t="n"/>
      <c r="I888" s="22" t="n"/>
      <c r="J888" s="22" t="n"/>
      <c r="K888" s="22" t="n"/>
      <c r="L888" s="22" t="n"/>
      <c r="M888" s="22" t="n"/>
      <c r="N888" s="22" t="n"/>
      <c r="O888" s="22" t="n"/>
      <c r="P888" s="22" t="n"/>
      <c r="Q888" s="22" t="n"/>
      <c r="R888" s="22" t="n"/>
      <c r="S888" s="22" t="n"/>
      <c r="T888" s="22" t="n"/>
      <c r="U888" s="22" t="n"/>
      <c r="V888" s="22" t="n"/>
      <c r="W888" s="22" t="n"/>
      <c r="X888" s="22" t="n"/>
      <c r="Y888" s="22" t="n"/>
      <c r="Z888" s="22" t="n"/>
      <c r="AA888" s="22" t="n"/>
    </row>
    <row r="889" ht="11.25" customHeight="1">
      <c r="A889" s="22" t="n"/>
      <c r="B889" s="22" t="n"/>
      <c r="C889" s="22" t="n"/>
      <c r="D889" s="26" t="n"/>
      <c r="E889" s="27" t="n"/>
      <c r="F889" s="27" t="n"/>
      <c r="G889" s="22" t="n"/>
      <c r="H889" s="22" t="n"/>
      <c r="I889" s="22" t="n"/>
      <c r="J889" s="22" t="n"/>
      <c r="K889" s="22" t="n"/>
      <c r="L889" s="22" t="n"/>
      <c r="M889" s="22" t="n"/>
      <c r="N889" s="22" t="n"/>
      <c r="O889" s="22" t="n"/>
      <c r="P889" s="22" t="n"/>
      <c r="Q889" s="22" t="n"/>
      <c r="R889" s="22" t="n"/>
      <c r="S889" s="22" t="n"/>
      <c r="T889" s="22" t="n"/>
      <c r="U889" s="22" t="n"/>
      <c r="V889" s="22" t="n"/>
      <c r="W889" s="22" t="n"/>
      <c r="X889" s="22" t="n"/>
      <c r="Y889" s="22" t="n"/>
      <c r="Z889" s="22" t="n"/>
      <c r="AA889" s="22" t="n"/>
    </row>
    <row r="890" ht="11.25" customHeight="1">
      <c r="A890" s="22" t="n"/>
      <c r="B890" s="22" t="n"/>
      <c r="C890" s="22" t="n"/>
      <c r="D890" s="26" t="n"/>
      <c r="E890" s="27" t="n"/>
      <c r="F890" s="27" t="n"/>
      <c r="G890" s="22" t="n"/>
      <c r="H890" s="22" t="n"/>
      <c r="I890" s="22" t="n"/>
      <c r="J890" s="22" t="n"/>
      <c r="K890" s="22" t="n"/>
      <c r="L890" s="22" t="n"/>
      <c r="M890" s="22" t="n"/>
      <c r="N890" s="22" t="n"/>
      <c r="O890" s="22" t="n"/>
      <c r="P890" s="22" t="n"/>
      <c r="Q890" s="22" t="n"/>
      <c r="R890" s="22" t="n"/>
      <c r="S890" s="22" t="n"/>
      <c r="T890" s="22" t="n"/>
      <c r="U890" s="22" t="n"/>
      <c r="V890" s="22" t="n"/>
      <c r="W890" s="22" t="n"/>
      <c r="X890" s="22" t="n"/>
      <c r="Y890" s="22" t="n"/>
      <c r="Z890" s="22" t="n"/>
      <c r="AA890" s="22" t="n"/>
    </row>
    <row r="891" ht="11.25" customHeight="1">
      <c r="A891" s="22" t="n"/>
      <c r="B891" s="22" t="n"/>
      <c r="C891" s="22" t="n"/>
      <c r="D891" s="26" t="n"/>
      <c r="E891" s="27" t="n"/>
      <c r="F891" s="27" t="n"/>
      <c r="G891" s="22" t="n"/>
      <c r="H891" s="22" t="n"/>
      <c r="I891" s="22" t="n"/>
      <c r="J891" s="22" t="n"/>
      <c r="K891" s="22" t="n"/>
      <c r="L891" s="22" t="n"/>
      <c r="M891" s="22" t="n"/>
      <c r="N891" s="22" t="n"/>
      <c r="O891" s="22" t="n"/>
      <c r="P891" s="22" t="n"/>
      <c r="Q891" s="22" t="n"/>
      <c r="R891" s="22" t="n"/>
      <c r="S891" s="22" t="n"/>
      <c r="T891" s="22" t="n"/>
      <c r="U891" s="22" t="n"/>
      <c r="V891" s="22" t="n"/>
      <c r="W891" s="22" t="n"/>
      <c r="X891" s="22" t="n"/>
      <c r="Y891" s="22" t="n"/>
      <c r="Z891" s="22" t="n"/>
      <c r="AA891" s="22" t="n"/>
    </row>
    <row r="892" ht="11.25" customHeight="1">
      <c r="A892" s="22" t="n"/>
      <c r="B892" s="22" t="n"/>
      <c r="C892" s="22" t="n"/>
      <c r="D892" s="26" t="n"/>
      <c r="E892" s="27" t="n"/>
      <c r="F892" s="27" t="n"/>
      <c r="G892" s="22" t="n"/>
      <c r="H892" s="22" t="n"/>
      <c r="I892" s="22" t="n"/>
      <c r="J892" s="22" t="n"/>
      <c r="K892" s="22" t="n"/>
      <c r="L892" s="22" t="n"/>
      <c r="M892" s="22" t="n"/>
      <c r="N892" s="22" t="n"/>
      <c r="O892" s="22" t="n"/>
      <c r="P892" s="22" t="n"/>
      <c r="Q892" s="22" t="n"/>
      <c r="R892" s="22" t="n"/>
      <c r="S892" s="22" t="n"/>
      <c r="T892" s="22" t="n"/>
      <c r="U892" s="22" t="n"/>
      <c r="V892" s="22" t="n"/>
      <c r="W892" s="22" t="n"/>
      <c r="X892" s="22" t="n"/>
      <c r="Y892" s="22" t="n"/>
      <c r="Z892" s="22" t="n"/>
      <c r="AA892" s="22" t="n"/>
    </row>
    <row r="893" ht="11.25" customHeight="1">
      <c r="A893" s="22" t="n"/>
      <c r="B893" s="22" t="n"/>
      <c r="C893" s="22" t="n"/>
      <c r="D893" s="26" t="n"/>
      <c r="E893" s="27" t="n"/>
      <c r="F893" s="27" t="n"/>
      <c r="G893" s="22" t="n"/>
      <c r="H893" s="22" t="n"/>
      <c r="I893" s="22" t="n"/>
      <c r="J893" s="22" t="n"/>
      <c r="K893" s="22" t="n"/>
      <c r="L893" s="22" t="n"/>
      <c r="M893" s="22" t="n"/>
      <c r="N893" s="22" t="n"/>
      <c r="O893" s="22" t="n"/>
      <c r="P893" s="22" t="n"/>
      <c r="Q893" s="22" t="n"/>
      <c r="R893" s="22" t="n"/>
      <c r="S893" s="22" t="n"/>
      <c r="T893" s="22" t="n"/>
      <c r="U893" s="22" t="n"/>
      <c r="V893" s="22" t="n"/>
      <c r="W893" s="22" t="n"/>
      <c r="X893" s="22" t="n"/>
      <c r="Y893" s="22" t="n"/>
      <c r="Z893" s="22" t="n"/>
      <c r="AA893" s="22" t="n"/>
    </row>
    <row r="894" ht="11.25" customHeight="1">
      <c r="A894" s="22" t="n"/>
      <c r="B894" s="22" t="n"/>
      <c r="C894" s="22" t="n"/>
      <c r="D894" s="26" t="n"/>
      <c r="E894" s="27" t="n"/>
      <c r="F894" s="27" t="n"/>
      <c r="G894" s="22" t="n"/>
      <c r="H894" s="22" t="n"/>
      <c r="I894" s="22" t="n"/>
      <c r="J894" s="22" t="n"/>
      <c r="K894" s="22" t="n"/>
      <c r="L894" s="22" t="n"/>
      <c r="M894" s="22" t="n"/>
      <c r="N894" s="22" t="n"/>
      <c r="O894" s="22" t="n"/>
      <c r="P894" s="22" t="n"/>
      <c r="Q894" s="22" t="n"/>
      <c r="R894" s="22" t="n"/>
      <c r="S894" s="22" t="n"/>
      <c r="T894" s="22" t="n"/>
      <c r="U894" s="22" t="n"/>
      <c r="V894" s="22" t="n"/>
      <c r="W894" s="22" t="n"/>
      <c r="X894" s="22" t="n"/>
      <c r="Y894" s="22" t="n"/>
      <c r="Z894" s="22" t="n"/>
      <c r="AA894" s="22" t="n"/>
    </row>
    <row r="895" ht="11.25" customHeight="1">
      <c r="A895" s="22" t="n"/>
      <c r="B895" s="22" t="n"/>
      <c r="C895" s="22" t="n"/>
      <c r="D895" s="26" t="n"/>
      <c r="E895" s="27" t="n"/>
      <c r="F895" s="27" t="n"/>
      <c r="G895" s="22" t="n"/>
      <c r="H895" s="22" t="n"/>
      <c r="I895" s="22" t="n"/>
      <c r="J895" s="22" t="n"/>
      <c r="K895" s="22" t="n"/>
      <c r="L895" s="22" t="n"/>
      <c r="M895" s="22" t="n"/>
      <c r="N895" s="22" t="n"/>
      <c r="O895" s="22" t="n"/>
      <c r="P895" s="22" t="n"/>
      <c r="Q895" s="22" t="n"/>
      <c r="R895" s="22" t="n"/>
      <c r="S895" s="22" t="n"/>
      <c r="T895" s="22" t="n"/>
      <c r="U895" s="22" t="n"/>
      <c r="V895" s="22" t="n"/>
      <c r="W895" s="22" t="n"/>
      <c r="X895" s="22" t="n"/>
      <c r="Y895" s="22" t="n"/>
      <c r="Z895" s="22" t="n"/>
      <c r="AA895" s="22" t="n"/>
    </row>
    <row r="896" ht="11.25" customHeight="1">
      <c r="A896" s="22" t="n"/>
      <c r="B896" s="22" t="n"/>
      <c r="C896" s="22" t="n"/>
      <c r="D896" s="26" t="n"/>
      <c r="E896" s="27" t="n"/>
      <c r="F896" s="27" t="n"/>
      <c r="G896" s="22" t="n"/>
      <c r="H896" s="22" t="n"/>
      <c r="I896" s="22" t="n"/>
      <c r="J896" s="22" t="n"/>
      <c r="K896" s="22" t="n"/>
      <c r="L896" s="22" t="n"/>
      <c r="M896" s="22" t="n"/>
      <c r="N896" s="22" t="n"/>
      <c r="O896" s="22" t="n"/>
      <c r="P896" s="22" t="n"/>
      <c r="Q896" s="22" t="n"/>
      <c r="R896" s="22" t="n"/>
      <c r="S896" s="22" t="n"/>
      <c r="T896" s="22" t="n"/>
      <c r="U896" s="22" t="n"/>
      <c r="V896" s="22" t="n"/>
      <c r="W896" s="22" t="n"/>
      <c r="X896" s="22" t="n"/>
      <c r="Y896" s="22" t="n"/>
      <c r="Z896" s="22" t="n"/>
      <c r="AA896" s="22" t="n"/>
    </row>
    <row r="897" ht="11.25" customHeight="1">
      <c r="A897" s="22" t="n"/>
      <c r="B897" s="22" t="n"/>
      <c r="C897" s="22" t="n"/>
      <c r="D897" s="26" t="n"/>
      <c r="E897" s="27" t="n"/>
      <c r="F897" s="27" t="n"/>
      <c r="G897" s="22" t="n"/>
      <c r="H897" s="22" t="n"/>
      <c r="I897" s="22" t="n"/>
      <c r="J897" s="22" t="n"/>
      <c r="K897" s="22" t="n"/>
      <c r="L897" s="22" t="n"/>
      <c r="M897" s="22" t="n"/>
      <c r="N897" s="22" t="n"/>
      <c r="O897" s="22" t="n"/>
      <c r="P897" s="22" t="n"/>
      <c r="Q897" s="22" t="n"/>
      <c r="R897" s="22" t="n"/>
      <c r="S897" s="22" t="n"/>
      <c r="T897" s="22" t="n"/>
      <c r="U897" s="22" t="n"/>
      <c r="V897" s="22" t="n"/>
      <c r="W897" s="22" t="n"/>
      <c r="X897" s="22" t="n"/>
      <c r="Y897" s="22" t="n"/>
      <c r="Z897" s="22" t="n"/>
      <c r="AA897" s="22" t="n"/>
    </row>
    <row r="898" ht="11.25" customHeight="1">
      <c r="A898" s="22" t="n"/>
      <c r="B898" s="22" t="n"/>
      <c r="C898" s="22" t="n"/>
      <c r="D898" s="26" t="n"/>
      <c r="E898" s="27" t="n"/>
      <c r="F898" s="27" t="n"/>
      <c r="G898" s="22" t="n"/>
      <c r="H898" s="22" t="n"/>
      <c r="I898" s="22" t="n"/>
      <c r="J898" s="22" t="n"/>
      <c r="K898" s="22" t="n"/>
      <c r="L898" s="22" t="n"/>
      <c r="M898" s="22" t="n"/>
      <c r="N898" s="22" t="n"/>
      <c r="O898" s="22" t="n"/>
      <c r="P898" s="22" t="n"/>
      <c r="Q898" s="22" t="n"/>
      <c r="R898" s="22" t="n"/>
      <c r="S898" s="22" t="n"/>
      <c r="T898" s="22" t="n"/>
      <c r="U898" s="22" t="n"/>
      <c r="V898" s="22" t="n"/>
      <c r="W898" s="22" t="n"/>
      <c r="X898" s="22" t="n"/>
      <c r="Y898" s="22" t="n"/>
      <c r="Z898" s="22" t="n"/>
      <c r="AA898" s="22" t="n"/>
    </row>
    <row r="899" ht="11.25" customHeight="1">
      <c r="A899" s="22" t="n"/>
      <c r="B899" s="22" t="n"/>
      <c r="C899" s="22" t="n"/>
      <c r="D899" s="26" t="n"/>
      <c r="E899" s="27" t="n"/>
      <c r="F899" s="27" t="n"/>
      <c r="G899" s="22" t="n"/>
      <c r="H899" s="22" t="n"/>
      <c r="I899" s="22" t="n"/>
      <c r="J899" s="22" t="n"/>
      <c r="K899" s="22" t="n"/>
      <c r="L899" s="22" t="n"/>
      <c r="M899" s="22" t="n"/>
      <c r="N899" s="22" t="n"/>
      <c r="O899" s="22" t="n"/>
      <c r="P899" s="22" t="n"/>
      <c r="Q899" s="22" t="n"/>
      <c r="R899" s="22" t="n"/>
      <c r="S899" s="22" t="n"/>
      <c r="T899" s="22" t="n"/>
      <c r="U899" s="22" t="n"/>
      <c r="V899" s="22" t="n"/>
      <c r="W899" s="22" t="n"/>
      <c r="X899" s="22" t="n"/>
      <c r="Y899" s="22" t="n"/>
      <c r="Z899" s="22" t="n"/>
      <c r="AA899" s="22" t="n"/>
    </row>
    <row r="900" ht="11.25" customHeight="1">
      <c r="A900" s="22" t="n"/>
      <c r="B900" s="22" t="n"/>
      <c r="C900" s="22" t="n"/>
      <c r="D900" s="26" t="n"/>
      <c r="E900" s="27" t="n"/>
      <c r="F900" s="27" t="n"/>
      <c r="G900" s="22" t="n"/>
      <c r="H900" s="22" t="n"/>
      <c r="I900" s="22" t="n"/>
      <c r="J900" s="22" t="n"/>
      <c r="K900" s="22" t="n"/>
      <c r="L900" s="22" t="n"/>
      <c r="M900" s="22" t="n"/>
      <c r="N900" s="22" t="n"/>
      <c r="O900" s="22" t="n"/>
      <c r="P900" s="22" t="n"/>
      <c r="Q900" s="22" t="n"/>
      <c r="R900" s="22" t="n"/>
      <c r="S900" s="22" t="n"/>
      <c r="T900" s="22" t="n"/>
      <c r="U900" s="22" t="n"/>
      <c r="V900" s="22" t="n"/>
      <c r="W900" s="22" t="n"/>
      <c r="X900" s="22" t="n"/>
      <c r="Y900" s="22" t="n"/>
      <c r="Z900" s="22" t="n"/>
      <c r="AA900" s="22" t="n"/>
    </row>
    <row r="901" ht="11.25" customHeight="1">
      <c r="A901" s="22" t="n"/>
      <c r="B901" s="22" t="n"/>
      <c r="C901" s="22" t="n"/>
      <c r="D901" s="26" t="n"/>
      <c r="E901" s="27" t="n"/>
      <c r="F901" s="27" t="n"/>
      <c r="G901" s="22" t="n"/>
      <c r="H901" s="22" t="n"/>
      <c r="I901" s="22" t="n"/>
      <c r="J901" s="22" t="n"/>
      <c r="K901" s="22" t="n"/>
      <c r="L901" s="22" t="n"/>
      <c r="M901" s="22" t="n"/>
      <c r="N901" s="22" t="n"/>
      <c r="O901" s="22" t="n"/>
      <c r="P901" s="22" t="n"/>
      <c r="Q901" s="22" t="n"/>
      <c r="R901" s="22" t="n"/>
      <c r="S901" s="22" t="n"/>
      <c r="T901" s="22" t="n"/>
      <c r="U901" s="22" t="n"/>
      <c r="V901" s="22" t="n"/>
      <c r="W901" s="22" t="n"/>
      <c r="X901" s="22" t="n"/>
      <c r="Y901" s="22" t="n"/>
      <c r="Z901" s="22" t="n"/>
      <c r="AA901" s="22" t="n"/>
    </row>
    <row r="902" ht="11.25" customHeight="1">
      <c r="A902" s="22" t="n"/>
      <c r="B902" s="22" t="n"/>
      <c r="C902" s="22" t="n"/>
      <c r="D902" s="26" t="n"/>
      <c r="E902" s="27" t="n"/>
      <c r="F902" s="27" t="n"/>
      <c r="G902" s="22" t="n"/>
      <c r="H902" s="22" t="n"/>
      <c r="I902" s="22" t="n"/>
      <c r="J902" s="22" t="n"/>
      <c r="K902" s="22" t="n"/>
      <c r="L902" s="22" t="n"/>
      <c r="M902" s="22" t="n"/>
      <c r="N902" s="22" t="n"/>
      <c r="O902" s="22" t="n"/>
      <c r="P902" s="22" t="n"/>
      <c r="Q902" s="22" t="n"/>
      <c r="R902" s="22" t="n"/>
      <c r="S902" s="22" t="n"/>
      <c r="T902" s="22" t="n"/>
      <c r="U902" s="22" t="n"/>
      <c r="V902" s="22" t="n"/>
      <c r="W902" s="22" t="n"/>
      <c r="X902" s="22" t="n"/>
      <c r="Y902" s="22" t="n"/>
      <c r="Z902" s="22" t="n"/>
      <c r="AA902" s="22" t="n"/>
    </row>
    <row r="903" ht="11.25" customHeight="1">
      <c r="A903" s="22" t="n"/>
      <c r="B903" s="22" t="n"/>
      <c r="C903" s="22" t="n"/>
      <c r="D903" s="26" t="n"/>
      <c r="E903" s="27" t="n"/>
      <c r="F903" s="27" t="n"/>
      <c r="G903" s="22" t="n"/>
      <c r="H903" s="22" t="n"/>
      <c r="I903" s="22" t="n"/>
      <c r="J903" s="22" t="n"/>
      <c r="K903" s="22" t="n"/>
      <c r="L903" s="22" t="n"/>
      <c r="M903" s="22" t="n"/>
      <c r="N903" s="22" t="n"/>
      <c r="O903" s="22" t="n"/>
      <c r="P903" s="22" t="n"/>
      <c r="Q903" s="22" t="n"/>
      <c r="R903" s="22" t="n"/>
      <c r="S903" s="22" t="n"/>
      <c r="T903" s="22" t="n"/>
      <c r="U903" s="22" t="n"/>
      <c r="V903" s="22" t="n"/>
      <c r="W903" s="22" t="n"/>
      <c r="X903" s="22" t="n"/>
      <c r="Y903" s="22" t="n"/>
      <c r="Z903" s="22" t="n"/>
      <c r="AA903" s="22" t="n"/>
    </row>
    <row r="904" ht="11.25" customHeight="1">
      <c r="A904" s="22" t="n"/>
      <c r="B904" s="22" t="n"/>
      <c r="C904" s="22" t="n"/>
      <c r="D904" s="26" t="n"/>
      <c r="E904" s="27" t="n"/>
      <c r="F904" s="27" t="n"/>
      <c r="G904" s="22" t="n"/>
      <c r="H904" s="22" t="n"/>
      <c r="I904" s="22" t="n"/>
      <c r="J904" s="22" t="n"/>
      <c r="K904" s="22" t="n"/>
      <c r="L904" s="22" t="n"/>
      <c r="M904" s="22" t="n"/>
      <c r="N904" s="22" t="n"/>
      <c r="O904" s="22" t="n"/>
      <c r="P904" s="22" t="n"/>
      <c r="Q904" s="22" t="n"/>
      <c r="R904" s="22" t="n"/>
      <c r="S904" s="22" t="n"/>
      <c r="T904" s="22" t="n"/>
      <c r="U904" s="22" t="n"/>
      <c r="V904" s="22" t="n"/>
      <c r="W904" s="22" t="n"/>
      <c r="X904" s="22" t="n"/>
      <c r="Y904" s="22" t="n"/>
      <c r="Z904" s="22" t="n"/>
      <c r="AA904" s="22" t="n"/>
    </row>
    <row r="905" ht="11.25" customHeight="1">
      <c r="A905" s="22" t="n"/>
      <c r="B905" s="22" t="n"/>
      <c r="C905" s="22" t="n"/>
      <c r="D905" s="26" t="n"/>
      <c r="E905" s="27" t="n"/>
      <c r="F905" s="27" t="n"/>
      <c r="G905" s="22" t="n"/>
      <c r="H905" s="22" t="n"/>
      <c r="I905" s="22" t="n"/>
      <c r="J905" s="22" t="n"/>
      <c r="K905" s="22" t="n"/>
      <c r="L905" s="22" t="n"/>
      <c r="M905" s="22" t="n"/>
      <c r="N905" s="22" t="n"/>
      <c r="O905" s="22" t="n"/>
      <c r="P905" s="22" t="n"/>
      <c r="Q905" s="22" t="n"/>
      <c r="R905" s="22" t="n"/>
      <c r="S905" s="22" t="n"/>
      <c r="T905" s="22" t="n"/>
      <c r="U905" s="22" t="n"/>
      <c r="V905" s="22" t="n"/>
      <c r="W905" s="22" t="n"/>
      <c r="X905" s="22" t="n"/>
      <c r="Y905" s="22" t="n"/>
      <c r="Z905" s="22" t="n"/>
      <c r="AA905" s="22" t="n"/>
    </row>
    <row r="906" ht="11.25" customHeight="1">
      <c r="A906" s="22" t="n"/>
      <c r="B906" s="22" t="n"/>
      <c r="C906" s="22" t="n"/>
      <c r="D906" s="26" t="n"/>
      <c r="E906" s="27" t="n"/>
      <c r="F906" s="27" t="n"/>
      <c r="G906" s="22" t="n"/>
      <c r="H906" s="22" t="n"/>
      <c r="I906" s="22" t="n"/>
      <c r="J906" s="22" t="n"/>
      <c r="K906" s="22" t="n"/>
      <c r="L906" s="22" t="n"/>
      <c r="M906" s="22" t="n"/>
      <c r="N906" s="22" t="n"/>
      <c r="O906" s="22" t="n"/>
      <c r="P906" s="22" t="n"/>
      <c r="Q906" s="22" t="n"/>
      <c r="R906" s="22" t="n"/>
      <c r="S906" s="22" t="n"/>
      <c r="T906" s="22" t="n"/>
      <c r="U906" s="22" t="n"/>
      <c r="V906" s="22" t="n"/>
      <c r="W906" s="22" t="n"/>
      <c r="X906" s="22" t="n"/>
      <c r="Y906" s="22" t="n"/>
      <c r="Z906" s="22" t="n"/>
      <c r="AA906" s="22" t="n"/>
    </row>
    <row r="907" ht="11.25" customHeight="1">
      <c r="A907" s="22" t="n"/>
      <c r="B907" s="22" t="n"/>
      <c r="C907" s="22" t="n"/>
      <c r="D907" s="26" t="n"/>
      <c r="E907" s="27" t="n"/>
      <c r="F907" s="27" t="n"/>
      <c r="G907" s="22" t="n"/>
      <c r="H907" s="22" t="n"/>
      <c r="I907" s="22" t="n"/>
      <c r="J907" s="22" t="n"/>
      <c r="K907" s="22" t="n"/>
      <c r="L907" s="22" t="n"/>
      <c r="M907" s="22" t="n"/>
      <c r="N907" s="22" t="n"/>
      <c r="O907" s="22" t="n"/>
      <c r="P907" s="22" t="n"/>
      <c r="Q907" s="22" t="n"/>
      <c r="R907" s="22" t="n"/>
      <c r="S907" s="22" t="n"/>
      <c r="T907" s="22" t="n"/>
      <c r="U907" s="22" t="n"/>
      <c r="V907" s="22" t="n"/>
      <c r="W907" s="22" t="n"/>
      <c r="X907" s="22" t="n"/>
      <c r="Y907" s="22" t="n"/>
      <c r="Z907" s="22" t="n"/>
      <c r="AA907" s="22" t="n"/>
    </row>
    <row r="908" ht="11.25" customHeight="1">
      <c r="A908" s="22" t="n"/>
      <c r="B908" s="22" t="n"/>
      <c r="C908" s="22" t="n"/>
      <c r="D908" s="26" t="n"/>
      <c r="E908" s="27" t="n"/>
      <c r="F908" s="27" t="n"/>
      <c r="G908" s="22" t="n"/>
      <c r="H908" s="22" t="n"/>
      <c r="I908" s="22" t="n"/>
      <c r="J908" s="22" t="n"/>
      <c r="K908" s="22" t="n"/>
      <c r="L908" s="22" t="n"/>
      <c r="M908" s="22" t="n"/>
      <c r="N908" s="22" t="n"/>
      <c r="O908" s="22" t="n"/>
      <c r="P908" s="22" t="n"/>
      <c r="Q908" s="22" t="n"/>
      <c r="R908" s="22" t="n"/>
      <c r="S908" s="22" t="n"/>
      <c r="T908" s="22" t="n"/>
      <c r="U908" s="22" t="n"/>
      <c r="V908" s="22" t="n"/>
      <c r="W908" s="22" t="n"/>
      <c r="X908" s="22" t="n"/>
      <c r="Y908" s="22" t="n"/>
      <c r="Z908" s="22" t="n"/>
      <c r="AA908" s="22" t="n"/>
    </row>
    <row r="909" ht="11.25" customHeight="1">
      <c r="A909" s="22" t="n"/>
      <c r="B909" s="22" t="n"/>
      <c r="C909" s="22" t="n"/>
      <c r="D909" s="26" t="n"/>
      <c r="E909" s="27" t="n"/>
      <c r="F909" s="27" t="n"/>
      <c r="G909" s="22" t="n"/>
      <c r="H909" s="22" t="n"/>
      <c r="I909" s="22" t="n"/>
      <c r="J909" s="22" t="n"/>
      <c r="K909" s="22" t="n"/>
      <c r="L909" s="22" t="n"/>
      <c r="M909" s="22" t="n"/>
      <c r="N909" s="22" t="n"/>
      <c r="O909" s="22" t="n"/>
      <c r="P909" s="22" t="n"/>
      <c r="Q909" s="22" t="n"/>
      <c r="R909" s="22" t="n"/>
      <c r="S909" s="22" t="n"/>
      <c r="T909" s="22" t="n"/>
      <c r="U909" s="22" t="n"/>
      <c r="V909" s="22" t="n"/>
      <c r="W909" s="22" t="n"/>
      <c r="X909" s="22" t="n"/>
      <c r="Y909" s="22" t="n"/>
      <c r="Z909" s="22" t="n"/>
      <c r="AA909" s="22" t="n"/>
    </row>
    <row r="910" ht="11.25" customHeight="1">
      <c r="A910" s="22" t="n"/>
      <c r="B910" s="22" t="n"/>
      <c r="C910" s="22" t="n"/>
      <c r="D910" s="26" t="n"/>
      <c r="E910" s="27" t="n"/>
      <c r="F910" s="27" t="n"/>
      <c r="G910" s="22" t="n"/>
      <c r="H910" s="22" t="n"/>
      <c r="I910" s="22" t="n"/>
      <c r="J910" s="22" t="n"/>
      <c r="K910" s="22" t="n"/>
      <c r="L910" s="22" t="n"/>
      <c r="M910" s="22" t="n"/>
      <c r="N910" s="22" t="n"/>
      <c r="O910" s="22" t="n"/>
      <c r="P910" s="22" t="n"/>
      <c r="Q910" s="22" t="n"/>
      <c r="R910" s="22" t="n"/>
      <c r="S910" s="22" t="n"/>
      <c r="T910" s="22" t="n"/>
      <c r="U910" s="22" t="n"/>
      <c r="V910" s="22" t="n"/>
      <c r="W910" s="22" t="n"/>
      <c r="X910" s="22" t="n"/>
      <c r="Y910" s="22" t="n"/>
      <c r="Z910" s="22" t="n"/>
      <c r="AA910" s="22" t="n"/>
    </row>
    <row r="911" ht="11.25" customHeight="1">
      <c r="A911" s="22" t="n"/>
      <c r="B911" s="22" t="n"/>
      <c r="C911" s="22" t="n"/>
      <c r="D911" s="26" t="n"/>
      <c r="E911" s="27" t="n"/>
      <c r="F911" s="27" t="n"/>
      <c r="G911" s="22" t="n"/>
      <c r="H911" s="22" t="n"/>
      <c r="I911" s="22" t="n"/>
      <c r="J911" s="22" t="n"/>
      <c r="K911" s="22" t="n"/>
      <c r="L911" s="22" t="n"/>
      <c r="M911" s="22" t="n"/>
      <c r="N911" s="22" t="n"/>
      <c r="O911" s="22" t="n"/>
      <c r="P911" s="22" t="n"/>
      <c r="Q911" s="22" t="n"/>
      <c r="R911" s="22" t="n"/>
      <c r="S911" s="22" t="n"/>
      <c r="T911" s="22" t="n"/>
      <c r="U911" s="22" t="n"/>
      <c r="V911" s="22" t="n"/>
      <c r="W911" s="22" t="n"/>
      <c r="X911" s="22" t="n"/>
      <c r="Y911" s="22" t="n"/>
      <c r="Z911" s="22" t="n"/>
      <c r="AA911" s="22" t="n"/>
    </row>
    <row r="912" ht="11.25" customHeight="1">
      <c r="A912" s="22" t="n"/>
      <c r="B912" s="22" t="n"/>
      <c r="C912" s="22" t="n"/>
      <c r="D912" s="26" t="n"/>
      <c r="E912" s="27" t="n"/>
      <c r="F912" s="27" t="n"/>
      <c r="G912" s="22" t="n"/>
      <c r="H912" s="22" t="n"/>
      <c r="I912" s="22" t="n"/>
      <c r="J912" s="22" t="n"/>
      <c r="K912" s="22" t="n"/>
      <c r="L912" s="22" t="n"/>
      <c r="M912" s="22" t="n"/>
      <c r="N912" s="22" t="n"/>
      <c r="O912" s="22" t="n"/>
      <c r="P912" s="22" t="n"/>
      <c r="Q912" s="22" t="n"/>
      <c r="R912" s="22" t="n"/>
      <c r="S912" s="22" t="n"/>
      <c r="T912" s="22" t="n"/>
      <c r="U912" s="22" t="n"/>
      <c r="V912" s="22" t="n"/>
      <c r="W912" s="22" t="n"/>
      <c r="X912" s="22" t="n"/>
      <c r="Y912" s="22" t="n"/>
      <c r="Z912" s="22" t="n"/>
      <c r="AA912" s="22" t="n"/>
    </row>
    <row r="913" ht="11.25" customHeight="1">
      <c r="A913" s="22" t="n"/>
      <c r="B913" s="22" t="n"/>
      <c r="C913" s="22" t="n"/>
      <c r="D913" s="26" t="n"/>
      <c r="E913" s="27" t="n"/>
      <c r="F913" s="27" t="n"/>
      <c r="G913" s="22" t="n"/>
      <c r="H913" s="22" t="n"/>
      <c r="I913" s="22" t="n"/>
      <c r="J913" s="22" t="n"/>
      <c r="K913" s="22" t="n"/>
      <c r="L913" s="22" t="n"/>
      <c r="M913" s="22" t="n"/>
      <c r="N913" s="22" t="n"/>
      <c r="O913" s="22" t="n"/>
      <c r="P913" s="22" t="n"/>
      <c r="Q913" s="22" t="n"/>
      <c r="R913" s="22" t="n"/>
      <c r="S913" s="22" t="n"/>
      <c r="T913" s="22" t="n"/>
      <c r="U913" s="22" t="n"/>
      <c r="V913" s="22" t="n"/>
      <c r="W913" s="22" t="n"/>
      <c r="X913" s="22" t="n"/>
      <c r="Y913" s="22" t="n"/>
      <c r="Z913" s="22" t="n"/>
      <c r="AA913" s="22" t="n"/>
    </row>
    <row r="914" ht="11.25" customHeight="1">
      <c r="A914" s="22" t="n"/>
      <c r="B914" s="22" t="n"/>
      <c r="C914" s="22" t="n"/>
      <c r="D914" s="26" t="n"/>
      <c r="E914" s="27" t="n"/>
      <c r="F914" s="27" t="n"/>
      <c r="G914" s="22" t="n"/>
      <c r="H914" s="22" t="n"/>
      <c r="I914" s="22" t="n"/>
      <c r="J914" s="22" t="n"/>
      <c r="K914" s="22" t="n"/>
      <c r="L914" s="22" t="n"/>
      <c r="M914" s="22" t="n"/>
      <c r="N914" s="22" t="n"/>
      <c r="O914" s="22" t="n"/>
      <c r="P914" s="22" t="n"/>
      <c r="Q914" s="22" t="n"/>
      <c r="R914" s="22" t="n"/>
      <c r="S914" s="22" t="n"/>
      <c r="T914" s="22" t="n"/>
      <c r="U914" s="22" t="n"/>
      <c r="V914" s="22" t="n"/>
      <c r="W914" s="22" t="n"/>
      <c r="X914" s="22" t="n"/>
      <c r="Y914" s="22" t="n"/>
      <c r="Z914" s="22" t="n"/>
      <c r="AA914" s="22" t="n"/>
    </row>
    <row r="915" ht="11.25" customHeight="1">
      <c r="A915" s="22" t="n"/>
      <c r="B915" s="22" t="n"/>
      <c r="C915" s="22" t="n"/>
      <c r="D915" s="26" t="n"/>
      <c r="E915" s="27" t="n"/>
      <c r="F915" s="27" t="n"/>
      <c r="G915" s="22" t="n"/>
      <c r="H915" s="22" t="n"/>
      <c r="I915" s="22" t="n"/>
      <c r="J915" s="22" t="n"/>
      <c r="K915" s="22" t="n"/>
      <c r="L915" s="22" t="n"/>
      <c r="M915" s="22" t="n"/>
      <c r="N915" s="22" t="n"/>
      <c r="O915" s="22" t="n"/>
      <c r="P915" s="22" t="n"/>
      <c r="Q915" s="22" t="n"/>
      <c r="R915" s="22" t="n"/>
      <c r="S915" s="22" t="n"/>
      <c r="T915" s="22" t="n"/>
      <c r="U915" s="22" t="n"/>
      <c r="V915" s="22" t="n"/>
      <c r="W915" s="22" t="n"/>
      <c r="X915" s="22" t="n"/>
      <c r="Y915" s="22" t="n"/>
      <c r="Z915" s="22" t="n"/>
      <c r="AA915" s="22" t="n"/>
    </row>
    <row r="916" ht="11.25" customHeight="1">
      <c r="A916" s="22" t="n"/>
      <c r="B916" s="22" t="n"/>
      <c r="C916" s="22" t="n"/>
      <c r="D916" s="26" t="n"/>
      <c r="E916" s="27" t="n"/>
      <c r="F916" s="27" t="n"/>
      <c r="G916" s="22" t="n"/>
      <c r="H916" s="22" t="n"/>
      <c r="I916" s="22" t="n"/>
      <c r="J916" s="22" t="n"/>
      <c r="K916" s="22" t="n"/>
      <c r="L916" s="22" t="n"/>
      <c r="M916" s="22" t="n"/>
      <c r="N916" s="22" t="n"/>
      <c r="O916" s="22" t="n"/>
      <c r="P916" s="22" t="n"/>
      <c r="Q916" s="22" t="n"/>
      <c r="R916" s="22" t="n"/>
      <c r="S916" s="22" t="n"/>
      <c r="T916" s="22" t="n"/>
      <c r="U916" s="22" t="n"/>
      <c r="V916" s="22" t="n"/>
      <c r="W916" s="22" t="n"/>
      <c r="X916" s="22" t="n"/>
      <c r="Y916" s="22" t="n"/>
      <c r="Z916" s="22" t="n"/>
      <c r="AA916" s="22" t="n"/>
    </row>
    <row r="917" ht="11.25" customHeight="1">
      <c r="A917" s="22" t="n"/>
      <c r="B917" s="22" t="n"/>
      <c r="C917" s="22" t="n"/>
      <c r="D917" s="26" t="n"/>
      <c r="E917" s="27" t="n"/>
      <c r="F917" s="27" t="n"/>
      <c r="G917" s="22" t="n"/>
      <c r="H917" s="22" t="n"/>
      <c r="I917" s="22" t="n"/>
      <c r="J917" s="22" t="n"/>
      <c r="K917" s="22" t="n"/>
      <c r="L917" s="22" t="n"/>
      <c r="M917" s="22" t="n"/>
      <c r="N917" s="22" t="n"/>
      <c r="O917" s="22" t="n"/>
      <c r="P917" s="22" t="n"/>
      <c r="Q917" s="22" t="n"/>
      <c r="R917" s="22" t="n"/>
      <c r="S917" s="22" t="n"/>
      <c r="T917" s="22" t="n"/>
      <c r="U917" s="22" t="n"/>
      <c r="V917" s="22" t="n"/>
      <c r="W917" s="22" t="n"/>
      <c r="X917" s="22" t="n"/>
      <c r="Y917" s="22" t="n"/>
      <c r="Z917" s="22" t="n"/>
      <c r="AA917" s="22" t="n"/>
    </row>
    <row r="918" ht="11.25" customHeight="1">
      <c r="A918" s="22" t="n"/>
      <c r="B918" s="22" t="n"/>
      <c r="C918" s="22" t="n"/>
      <c r="D918" s="26" t="n"/>
      <c r="E918" s="27" t="n"/>
      <c r="F918" s="27" t="n"/>
      <c r="G918" s="22" t="n"/>
      <c r="H918" s="22" t="n"/>
      <c r="I918" s="22" t="n"/>
      <c r="J918" s="22" t="n"/>
      <c r="K918" s="22" t="n"/>
      <c r="L918" s="22" t="n"/>
      <c r="M918" s="22" t="n"/>
      <c r="N918" s="22" t="n"/>
      <c r="O918" s="22" t="n"/>
      <c r="P918" s="22" t="n"/>
      <c r="Q918" s="22" t="n"/>
      <c r="R918" s="22" t="n"/>
      <c r="S918" s="22" t="n"/>
      <c r="T918" s="22" t="n"/>
      <c r="U918" s="22" t="n"/>
      <c r="V918" s="22" t="n"/>
      <c r="W918" s="22" t="n"/>
      <c r="X918" s="22" t="n"/>
      <c r="Y918" s="22" t="n"/>
      <c r="Z918" s="22" t="n"/>
      <c r="AA918" s="22" t="n"/>
    </row>
    <row r="919" ht="11.25" customHeight="1">
      <c r="A919" s="22" t="n"/>
      <c r="B919" s="22" t="n"/>
      <c r="C919" s="22" t="n"/>
      <c r="D919" s="26" t="n"/>
      <c r="E919" s="27" t="n"/>
      <c r="F919" s="27" t="n"/>
      <c r="G919" s="22" t="n"/>
      <c r="H919" s="22" t="n"/>
      <c r="I919" s="22" t="n"/>
      <c r="J919" s="22" t="n"/>
      <c r="K919" s="22" t="n"/>
      <c r="L919" s="22" t="n"/>
      <c r="M919" s="22" t="n"/>
      <c r="N919" s="22" t="n"/>
      <c r="O919" s="22" t="n"/>
      <c r="P919" s="22" t="n"/>
      <c r="Q919" s="22" t="n"/>
      <c r="R919" s="22" t="n"/>
      <c r="S919" s="22" t="n"/>
      <c r="T919" s="22" t="n"/>
      <c r="U919" s="22" t="n"/>
      <c r="V919" s="22" t="n"/>
      <c r="W919" s="22" t="n"/>
      <c r="X919" s="22" t="n"/>
      <c r="Y919" s="22" t="n"/>
      <c r="Z919" s="22" t="n"/>
      <c r="AA919" s="22" t="n"/>
    </row>
    <row r="920" ht="11.25" customHeight="1">
      <c r="A920" s="22" t="n"/>
      <c r="B920" s="22" t="n"/>
      <c r="C920" s="22" t="n"/>
      <c r="D920" s="26" t="n"/>
      <c r="E920" s="27" t="n"/>
      <c r="F920" s="27" t="n"/>
      <c r="G920" s="22" t="n"/>
      <c r="H920" s="22" t="n"/>
      <c r="I920" s="22" t="n"/>
      <c r="J920" s="22" t="n"/>
      <c r="K920" s="22" t="n"/>
      <c r="L920" s="22" t="n"/>
      <c r="M920" s="22" t="n"/>
      <c r="N920" s="22" t="n"/>
      <c r="O920" s="22" t="n"/>
      <c r="P920" s="22" t="n"/>
      <c r="Q920" s="22" t="n"/>
      <c r="R920" s="22" t="n"/>
      <c r="S920" s="22" t="n"/>
      <c r="T920" s="22" t="n"/>
      <c r="U920" s="22" t="n"/>
      <c r="V920" s="22" t="n"/>
      <c r="W920" s="22" t="n"/>
      <c r="X920" s="22" t="n"/>
      <c r="Y920" s="22" t="n"/>
      <c r="Z920" s="22" t="n"/>
      <c r="AA920" s="22" t="n"/>
    </row>
    <row r="921" ht="11.25" customHeight="1">
      <c r="A921" s="22" t="n"/>
      <c r="B921" s="22" t="n"/>
      <c r="C921" s="22" t="n"/>
      <c r="D921" s="26" t="n"/>
      <c r="E921" s="27" t="n"/>
      <c r="F921" s="27" t="n"/>
      <c r="G921" s="22" t="n"/>
      <c r="H921" s="22" t="n"/>
      <c r="I921" s="22" t="n"/>
      <c r="J921" s="22" t="n"/>
      <c r="K921" s="22" t="n"/>
      <c r="L921" s="22" t="n"/>
      <c r="M921" s="22" t="n"/>
      <c r="N921" s="22" t="n"/>
      <c r="O921" s="22" t="n"/>
      <c r="P921" s="22" t="n"/>
      <c r="Q921" s="22" t="n"/>
      <c r="R921" s="22" t="n"/>
      <c r="S921" s="22" t="n"/>
      <c r="T921" s="22" t="n"/>
      <c r="U921" s="22" t="n"/>
      <c r="V921" s="22" t="n"/>
      <c r="W921" s="22" t="n"/>
      <c r="X921" s="22" t="n"/>
      <c r="Y921" s="22" t="n"/>
      <c r="Z921" s="22" t="n"/>
      <c r="AA921" s="22" t="n"/>
    </row>
    <row r="922" ht="11.25" customHeight="1">
      <c r="A922" s="22" t="n"/>
      <c r="B922" s="22" t="n"/>
      <c r="C922" s="22" t="n"/>
      <c r="D922" s="26" t="n"/>
      <c r="E922" s="27" t="n"/>
      <c r="F922" s="27" t="n"/>
      <c r="G922" s="22" t="n"/>
      <c r="H922" s="22" t="n"/>
      <c r="I922" s="22" t="n"/>
      <c r="J922" s="22" t="n"/>
      <c r="K922" s="22" t="n"/>
      <c r="L922" s="22" t="n"/>
      <c r="M922" s="22" t="n"/>
      <c r="N922" s="22" t="n"/>
      <c r="O922" s="22" t="n"/>
      <c r="P922" s="22" t="n"/>
      <c r="Q922" s="22" t="n"/>
      <c r="R922" s="22" t="n"/>
      <c r="S922" s="22" t="n"/>
      <c r="T922" s="22" t="n"/>
      <c r="U922" s="22" t="n"/>
      <c r="V922" s="22" t="n"/>
      <c r="W922" s="22" t="n"/>
      <c r="X922" s="22" t="n"/>
      <c r="Y922" s="22" t="n"/>
      <c r="Z922" s="22" t="n"/>
      <c r="AA922" s="22" t="n"/>
    </row>
    <row r="923" ht="11.25" customHeight="1">
      <c r="A923" s="22" t="n"/>
      <c r="B923" s="22" t="n"/>
      <c r="C923" s="22" t="n"/>
      <c r="D923" s="26" t="n"/>
      <c r="E923" s="27" t="n"/>
      <c r="F923" s="27" t="n"/>
      <c r="G923" s="22" t="n"/>
      <c r="H923" s="22" t="n"/>
      <c r="I923" s="22" t="n"/>
      <c r="J923" s="22" t="n"/>
      <c r="K923" s="22" t="n"/>
      <c r="L923" s="22" t="n"/>
      <c r="M923" s="22" t="n"/>
      <c r="N923" s="22" t="n"/>
      <c r="O923" s="22" t="n"/>
      <c r="P923" s="22" t="n"/>
      <c r="Q923" s="22" t="n"/>
      <c r="R923" s="22" t="n"/>
      <c r="S923" s="22" t="n"/>
      <c r="T923" s="22" t="n"/>
      <c r="U923" s="22" t="n"/>
      <c r="V923" s="22" t="n"/>
      <c r="W923" s="22" t="n"/>
      <c r="X923" s="22" t="n"/>
      <c r="Y923" s="22" t="n"/>
      <c r="Z923" s="22" t="n"/>
      <c r="AA923" s="22" t="n"/>
    </row>
    <row r="924" ht="11.25" customHeight="1">
      <c r="A924" s="22" t="n"/>
      <c r="B924" s="22" t="n"/>
      <c r="C924" s="22" t="n"/>
      <c r="D924" s="26" t="n"/>
      <c r="E924" s="27" t="n"/>
      <c r="F924" s="27" t="n"/>
      <c r="G924" s="22" t="n"/>
      <c r="H924" s="22" t="n"/>
      <c r="I924" s="22" t="n"/>
      <c r="J924" s="22" t="n"/>
      <c r="K924" s="22" t="n"/>
      <c r="L924" s="22" t="n"/>
      <c r="M924" s="22" t="n"/>
      <c r="N924" s="22" t="n"/>
      <c r="O924" s="22" t="n"/>
      <c r="P924" s="22" t="n"/>
      <c r="Q924" s="22" t="n"/>
      <c r="R924" s="22" t="n"/>
      <c r="S924" s="22" t="n"/>
      <c r="T924" s="22" t="n"/>
      <c r="U924" s="22" t="n"/>
      <c r="V924" s="22" t="n"/>
      <c r="W924" s="22" t="n"/>
      <c r="X924" s="22" t="n"/>
      <c r="Y924" s="22" t="n"/>
      <c r="Z924" s="22" t="n"/>
      <c r="AA924" s="22" t="n"/>
    </row>
    <row r="925" ht="11.25" customHeight="1">
      <c r="A925" s="22" t="n"/>
      <c r="B925" s="22" t="n"/>
      <c r="C925" s="22" t="n"/>
      <c r="D925" s="26" t="n"/>
      <c r="E925" s="27" t="n"/>
      <c r="F925" s="27" t="n"/>
      <c r="G925" s="22" t="n"/>
      <c r="H925" s="22" t="n"/>
      <c r="I925" s="22" t="n"/>
      <c r="J925" s="22" t="n"/>
      <c r="K925" s="22" t="n"/>
      <c r="L925" s="22" t="n"/>
      <c r="M925" s="22" t="n"/>
      <c r="N925" s="22" t="n"/>
      <c r="O925" s="22" t="n"/>
      <c r="P925" s="22" t="n"/>
      <c r="Q925" s="22" t="n"/>
      <c r="R925" s="22" t="n"/>
      <c r="S925" s="22" t="n"/>
      <c r="T925" s="22" t="n"/>
      <c r="U925" s="22" t="n"/>
      <c r="V925" s="22" t="n"/>
      <c r="W925" s="22" t="n"/>
      <c r="X925" s="22" t="n"/>
      <c r="Y925" s="22" t="n"/>
      <c r="Z925" s="22" t="n"/>
      <c r="AA925" s="22" t="n"/>
    </row>
    <row r="926" ht="11.25" customHeight="1">
      <c r="A926" s="22" t="n"/>
      <c r="B926" s="22" t="n"/>
      <c r="C926" s="22" t="n"/>
      <c r="D926" s="26" t="n"/>
      <c r="E926" s="27" t="n"/>
      <c r="F926" s="27" t="n"/>
      <c r="G926" s="22" t="n"/>
      <c r="H926" s="22" t="n"/>
      <c r="I926" s="22" t="n"/>
      <c r="J926" s="22" t="n"/>
      <c r="K926" s="22" t="n"/>
      <c r="L926" s="22" t="n"/>
      <c r="M926" s="22" t="n"/>
      <c r="N926" s="22" t="n"/>
      <c r="O926" s="22" t="n"/>
      <c r="P926" s="22" t="n"/>
      <c r="Q926" s="22" t="n"/>
      <c r="R926" s="22" t="n"/>
      <c r="S926" s="22" t="n"/>
      <c r="T926" s="22" t="n"/>
      <c r="U926" s="22" t="n"/>
      <c r="V926" s="22" t="n"/>
      <c r="W926" s="22" t="n"/>
      <c r="X926" s="22" t="n"/>
      <c r="Y926" s="22" t="n"/>
      <c r="Z926" s="22" t="n"/>
      <c r="AA926" s="22" t="n"/>
    </row>
    <row r="927" ht="11.25" customHeight="1">
      <c r="A927" s="22" t="n"/>
      <c r="B927" s="22" t="n"/>
      <c r="C927" s="22" t="n"/>
      <c r="D927" s="26" t="n"/>
      <c r="E927" s="27" t="n"/>
      <c r="F927" s="27" t="n"/>
      <c r="G927" s="22" t="n"/>
      <c r="H927" s="22" t="n"/>
      <c r="I927" s="22" t="n"/>
      <c r="J927" s="22" t="n"/>
      <c r="K927" s="22" t="n"/>
      <c r="L927" s="22" t="n"/>
      <c r="M927" s="22" t="n"/>
      <c r="N927" s="22" t="n"/>
      <c r="O927" s="22" t="n"/>
      <c r="P927" s="22" t="n"/>
      <c r="Q927" s="22" t="n"/>
      <c r="R927" s="22" t="n"/>
      <c r="S927" s="22" t="n"/>
      <c r="T927" s="22" t="n"/>
      <c r="U927" s="22" t="n"/>
      <c r="V927" s="22" t="n"/>
      <c r="W927" s="22" t="n"/>
      <c r="X927" s="22" t="n"/>
      <c r="Y927" s="22" t="n"/>
      <c r="Z927" s="22" t="n"/>
      <c r="AA927" s="22" t="n"/>
    </row>
    <row r="928" ht="11.25" customHeight="1">
      <c r="A928" s="22" t="n"/>
      <c r="B928" s="22" t="n"/>
      <c r="C928" s="22" t="n"/>
      <c r="D928" s="26" t="n"/>
      <c r="E928" s="27" t="n"/>
      <c r="F928" s="27" t="n"/>
      <c r="G928" s="22" t="n"/>
      <c r="H928" s="22" t="n"/>
      <c r="I928" s="22" t="n"/>
      <c r="J928" s="22" t="n"/>
      <c r="K928" s="22" t="n"/>
      <c r="L928" s="22" t="n"/>
      <c r="M928" s="22" t="n"/>
      <c r="N928" s="22" t="n"/>
      <c r="O928" s="22" t="n"/>
      <c r="P928" s="22" t="n"/>
      <c r="Q928" s="22" t="n"/>
      <c r="R928" s="22" t="n"/>
      <c r="S928" s="22" t="n"/>
      <c r="T928" s="22" t="n"/>
      <c r="U928" s="22" t="n"/>
      <c r="V928" s="22" t="n"/>
      <c r="W928" s="22" t="n"/>
      <c r="X928" s="22" t="n"/>
      <c r="Y928" s="22" t="n"/>
      <c r="Z928" s="22" t="n"/>
      <c r="AA928" s="22" t="n"/>
    </row>
    <row r="929" ht="11.25" customHeight="1">
      <c r="A929" s="22" t="n"/>
      <c r="B929" s="22" t="n"/>
      <c r="C929" s="22" t="n"/>
      <c r="D929" s="26" t="n"/>
      <c r="E929" s="27" t="n"/>
      <c r="F929" s="27" t="n"/>
      <c r="G929" s="22" t="n"/>
      <c r="H929" s="22" t="n"/>
      <c r="I929" s="22" t="n"/>
      <c r="J929" s="22" t="n"/>
      <c r="K929" s="22" t="n"/>
      <c r="L929" s="22" t="n"/>
      <c r="M929" s="22" t="n"/>
      <c r="N929" s="22" t="n"/>
      <c r="O929" s="22" t="n"/>
      <c r="P929" s="22" t="n"/>
      <c r="Q929" s="22" t="n"/>
      <c r="R929" s="22" t="n"/>
      <c r="S929" s="22" t="n"/>
      <c r="T929" s="22" t="n"/>
      <c r="U929" s="22" t="n"/>
      <c r="V929" s="22" t="n"/>
      <c r="W929" s="22" t="n"/>
      <c r="X929" s="22" t="n"/>
      <c r="Y929" s="22" t="n"/>
      <c r="Z929" s="22" t="n"/>
      <c r="AA929" s="22" t="n"/>
    </row>
    <row r="930" ht="11.25" customHeight="1">
      <c r="A930" s="22" t="n"/>
      <c r="B930" s="22" t="n"/>
      <c r="C930" s="22" t="n"/>
      <c r="D930" s="26" t="n"/>
      <c r="E930" s="27" t="n"/>
      <c r="F930" s="27" t="n"/>
      <c r="G930" s="22" t="n"/>
      <c r="H930" s="22" t="n"/>
      <c r="I930" s="22" t="n"/>
      <c r="J930" s="22" t="n"/>
      <c r="K930" s="22" t="n"/>
      <c r="L930" s="22" t="n"/>
      <c r="M930" s="22" t="n"/>
      <c r="N930" s="22" t="n"/>
      <c r="O930" s="22" t="n"/>
      <c r="P930" s="22" t="n"/>
      <c r="Q930" s="22" t="n"/>
      <c r="R930" s="22" t="n"/>
      <c r="S930" s="22" t="n"/>
      <c r="T930" s="22" t="n"/>
      <c r="U930" s="22" t="n"/>
      <c r="V930" s="22" t="n"/>
      <c r="W930" s="22" t="n"/>
      <c r="X930" s="22" t="n"/>
      <c r="Y930" s="22" t="n"/>
      <c r="Z930" s="22" t="n"/>
      <c r="AA930" s="22" t="n"/>
    </row>
    <row r="931" ht="11.25" customHeight="1">
      <c r="A931" s="22" t="n"/>
      <c r="B931" s="22" t="n"/>
      <c r="C931" s="22" t="n"/>
      <c r="D931" s="26" t="n"/>
      <c r="E931" s="27" t="n"/>
      <c r="F931" s="27" t="n"/>
      <c r="G931" s="22" t="n"/>
      <c r="H931" s="22" t="n"/>
      <c r="I931" s="22" t="n"/>
      <c r="J931" s="22" t="n"/>
      <c r="K931" s="22" t="n"/>
      <c r="L931" s="22" t="n"/>
      <c r="M931" s="22" t="n"/>
      <c r="N931" s="22" t="n"/>
      <c r="O931" s="22" t="n"/>
      <c r="P931" s="22" t="n"/>
      <c r="Q931" s="22" t="n"/>
      <c r="R931" s="22" t="n"/>
      <c r="S931" s="22" t="n"/>
      <c r="T931" s="22" t="n"/>
      <c r="U931" s="22" t="n"/>
      <c r="V931" s="22" t="n"/>
      <c r="W931" s="22" t="n"/>
      <c r="X931" s="22" t="n"/>
      <c r="Y931" s="22" t="n"/>
      <c r="Z931" s="22" t="n"/>
      <c r="AA931" s="22" t="n"/>
    </row>
    <row r="932" ht="11.25" customHeight="1">
      <c r="A932" s="22" t="n"/>
      <c r="B932" s="22" t="n"/>
      <c r="C932" s="22" t="n"/>
      <c r="D932" s="26" t="n"/>
      <c r="E932" s="27" t="n"/>
      <c r="F932" s="27" t="n"/>
      <c r="G932" s="22" t="n"/>
      <c r="H932" s="22" t="n"/>
      <c r="I932" s="22" t="n"/>
      <c r="J932" s="22" t="n"/>
      <c r="K932" s="22" t="n"/>
      <c r="L932" s="22" t="n"/>
      <c r="M932" s="22" t="n"/>
      <c r="N932" s="22" t="n"/>
      <c r="O932" s="22" t="n"/>
      <c r="P932" s="22" t="n"/>
      <c r="Q932" s="22" t="n"/>
      <c r="R932" s="22" t="n"/>
      <c r="S932" s="22" t="n"/>
      <c r="T932" s="22" t="n"/>
      <c r="U932" s="22" t="n"/>
      <c r="V932" s="22" t="n"/>
      <c r="W932" s="22" t="n"/>
      <c r="X932" s="22" t="n"/>
      <c r="Y932" s="22" t="n"/>
      <c r="Z932" s="22" t="n"/>
      <c r="AA932" s="22" t="n"/>
    </row>
    <row r="933" ht="11.25" customHeight="1">
      <c r="A933" s="22" t="n"/>
      <c r="B933" s="22" t="n"/>
      <c r="C933" s="22" t="n"/>
      <c r="D933" s="26" t="n"/>
      <c r="E933" s="27" t="n"/>
      <c r="F933" s="27" t="n"/>
      <c r="G933" s="22" t="n"/>
      <c r="H933" s="22" t="n"/>
      <c r="I933" s="22" t="n"/>
      <c r="J933" s="22" t="n"/>
      <c r="K933" s="22" t="n"/>
      <c r="L933" s="22" t="n"/>
      <c r="M933" s="22" t="n"/>
      <c r="N933" s="22" t="n"/>
      <c r="O933" s="22" t="n"/>
      <c r="P933" s="22" t="n"/>
      <c r="Q933" s="22" t="n"/>
      <c r="R933" s="22" t="n"/>
      <c r="S933" s="22" t="n"/>
      <c r="T933" s="22" t="n"/>
      <c r="U933" s="22" t="n"/>
      <c r="V933" s="22" t="n"/>
      <c r="W933" s="22" t="n"/>
      <c r="X933" s="22" t="n"/>
      <c r="Y933" s="22" t="n"/>
      <c r="Z933" s="22" t="n"/>
      <c r="AA933" s="22" t="n"/>
    </row>
    <row r="934" ht="11.25" customHeight="1">
      <c r="A934" s="22" t="n"/>
      <c r="B934" s="22" t="n"/>
      <c r="C934" s="22" t="n"/>
      <c r="D934" s="26" t="n"/>
      <c r="E934" s="27" t="n"/>
      <c r="F934" s="27" t="n"/>
      <c r="G934" s="22" t="n"/>
      <c r="H934" s="22" t="n"/>
      <c r="I934" s="22" t="n"/>
      <c r="J934" s="22" t="n"/>
      <c r="K934" s="22" t="n"/>
      <c r="L934" s="22" t="n"/>
      <c r="M934" s="22" t="n"/>
      <c r="N934" s="22" t="n"/>
      <c r="O934" s="22" t="n"/>
      <c r="P934" s="22" t="n"/>
      <c r="Q934" s="22" t="n"/>
      <c r="R934" s="22" t="n"/>
      <c r="S934" s="22" t="n"/>
      <c r="T934" s="22" t="n"/>
      <c r="U934" s="22" t="n"/>
      <c r="V934" s="22" t="n"/>
      <c r="W934" s="22" t="n"/>
      <c r="X934" s="22" t="n"/>
      <c r="Y934" s="22" t="n"/>
      <c r="Z934" s="22" t="n"/>
      <c r="AA934" s="22" t="n"/>
    </row>
    <row r="935" ht="11.25" customHeight="1">
      <c r="A935" s="22" t="n"/>
      <c r="B935" s="22" t="n"/>
      <c r="C935" s="22" t="n"/>
      <c r="D935" s="26" t="n"/>
      <c r="E935" s="27" t="n"/>
      <c r="F935" s="27" t="n"/>
      <c r="G935" s="22" t="n"/>
      <c r="H935" s="22" t="n"/>
      <c r="I935" s="22" t="n"/>
      <c r="J935" s="22" t="n"/>
      <c r="K935" s="22" t="n"/>
      <c r="L935" s="22" t="n"/>
      <c r="M935" s="22" t="n"/>
      <c r="N935" s="22" t="n"/>
      <c r="O935" s="22" t="n"/>
      <c r="P935" s="22" t="n"/>
      <c r="Q935" s="22" t="n"/>
      <c r="R935" s="22" t="n"/>
      <c r="S935" s="22" t="n"/>
      <c r="T935" s="22" t="n"/>
      <c r="U935" s="22" t="n"/>
      <c r="V935" s="22" t="n"/>
      <c r="W935" s="22" t="n"/>
      <c r="X935" s="22" t="n"/>
      <c r="Y935" s="22" t="n"/>
      <c r="Z935" s="22" t="n"/>
      <c r="AA935" s="22" t="n"/>
    </row>
    <row r="936" ht="11.25" customHeight="1">
      <c r="A936" s="22" t="n"/>
      <c r="B936" s="22" t="n"/>
      <c r="C936" s="22" t="n"/>
      <c r="D936" s="26" t="n"/>
      <c r="E936" s="27" t="n"/>
      <c r="F936" s="27" t="n"/>
      <c r="G936" s="22" t="n"/>
      <c r="H936" s="22" t="n"/>
      <c r="I936" s="22" t="n"/>
      <c r="J936" s="22" t="n"/>
      <c r="K936" s="22" t="n"/>
      <c r="L936" s="22" t="n"/>
      <c r="M936" s="22" t="n"/>
      <c r="N936" s="22" t="n"/>
      <c r="O936" s="22" t="n"/>
      <c r="P936" s="22" t="n"/>
      <c r="Q936" s="22" t="n"/>
      <c r="R936" s="22" t="n"/>
      <c r="S936" s="22" t="n"/>
      <c r="T936" s="22" t="n"/>
      <c r="U936" s="22" t="n"/>
      <c r="V936" s="22" t="n"/>
      <c r="W936" s="22" t="n"/>
      <c r="X936" s="22" t="n"/>
      <c r="Y936" s="22" t="n"/>
      <c r="Z936" s="22" t="n"/>
      <c r="AA936" s="22" t="n"/>
    </row>
    <row r="937" ht="11.25" customHeight="1">
      <c r="A937" s="22" t="n"/>
      <c r="B937" s="22" t="n"/>
      <c r="C937" s="22" t="n"/>
      <c r="D937" s="26" t="n"/>
      <c r="E937" s="27" t="n"/>
      <c r="F937" s="27" t="n"/>
      <c r="G937" s="22" t="n"/>
      <c r="H937" s="22" t="n"/>
      <c r="I937" s="22" t="n"/>
      <c r="J937" s="22" t="n"/>
      <c r="K937" s="22" t="n"/>
      <c r="L937" s="22" t="n"/>
      <c r="M937" s="22" t="n"/>
      <c r="N937" s="22" t="n"/>
      <c r="O937" s="22" t="n"/>
      <c r="P937" s="22" t="n"/>
      <c r="Q937" s="22" t="n"/>
      <c r="R937" s="22" t="n"/>
      <c r="S937" s="22" t="n"/>
      <c r="T937" s="22" t="n"/>
      <c r="U937" s="22" t="n"/>
      <c r="V937" s="22" t="n"/>
      <c r="W937" s="22" t="n"/>
      <c r="X937" s="22" t="n"/>
      <c r="Y937" s="22" t="n"/>
      <c r="Z937" s="22" t="n"/>
      <c r="AA937" s="22" t="n"/>
    </row>
    <row r="938" ht="11.25" customHeight="1">
      <c r="A938" s="22" t="n"/>
      <c r="B938" s="22" t="n"/>
      <c r="C938" s="22" t="n"/>
      <c r="D938" s="26" t="n"/>
      <c r="E938" s="27" t="n"/>
      <c r="F938" s="27" t="n"/>
      <c r="G938" s="22" t="n"/>
      <c r="H938" s="22" t="n"/>
      <c r="I938" s="22" t="n"/>
      <c r="J938" s="22" t="n"/>
      <c r="K938" s="22" t="n"/>
      <c r="L938" s="22" t="n"/>
      <c r="M938" s="22" t="n"/>
      <c r="N938" s="22" t="n"/>
      <c r="O938" s="22" t="n"/>
      <c r="P938" s="22" t="n"/>
      <c r="Q938" s="22" t="n"/>
      <c r="R938" s="22" t="n"/>
      <c r="S938" s="22" t="n"/>
      <c r="T938" s="22" t="n"/>
      <c r="U938" s="22" t="n"/>
      <c r="V938" s="22" t="n"/>
      <c r="W938" s="22" t="n"/>
      <c r="X938" s="22" t="n"/>
      <c r="Y938" s="22" t="n"/>
      <c r="Z938" s="22" t="n"/>
      <c r="AA938" s="22" t="n"/>
    </row>
    <row r="939" ht="11.25" customHeight="1">
      <c r="A939" s="22" t="n"/>
      <c r="B939" s="22" t="n"/>
      <c r="C939" s="22" t="n"/>
      <c r="D939" s="26" t="n"/>
      <c r="E939" s="27" t="n"/>
      <c r="F939" s="27" t="n"/>
      <c r="G939" s="22" t="n"/>
      <c r="H939" s="22" t="n"/>
      <c r="I939" s="22" t="n"/>
      <c r="J939" s="22" t="n"/>
      <c r="K939" s="22" t="n"/>
      <c r="L939" s="22" t="n"/>
      <c r="M939" s="22" t="n"/>
      <c r="N939" s="22" t="n"/>
      <c r="O939" s="22" t="n"/>
      <c r="P939" s="22" t="n"/>
      <c r="Q939" s="22" t="n"/>
      <c r="R939" s="22" t="n"/>
      <c r="S939" s="22" t="n"/>
      <c r="T939" s="22" t="n"/>
      <c r="U939" s="22" t="n"/>
      <c r="V939" s="22" t="n"/>
      <c r="W939" s="22" t="n"/>
      <c r="X939" s="22" t="n"/>
      <c r="Y939" s="22" t="n"/>
      <c r="Z939" s="22" t="n"/>
      <c r="AA939" s="22" t="n"/>
    </row>
    <row r="940" ht="11.25" customHeight="1">
      <c r="A940" s="22" t="n"/>
      <c r="B940" s="22" t="n"/>
      <c r="C940" s="22" t="n"/>
      <c r="D940" s="26" t="n"/>
      <c r="E940" s="27" t="n"/>
      <c r="F940" s="27" t="n"/>
      <c r="G940" s="22" t="n"/>
      <c r="H940" s="22" t="n"/>
      <c r="I940" s="22" t="n"/>
      <c r="J940" s="22" t="n"/>
      <c r="K940" s="22" t="n"/>
      <c r="L940" s="22" t="n"/>
      <c r="M940" s="22" t="n"/>
      <c r="N940" s="22" t="n"/>
      <c r="O940" s="22" t="n"/>
      <c r="P940" s="22" t="n"/>
      <c r="Q940" s="22" t="n"/>
      <c r="R940" s="22" t="n"/>
      <c r="S940" s="22" t="n"/>
      <c r="T940" s="22" t="n"/>
      <c r="U940" s="22" t="n"/>
      <c r="V940" s="22" t="n"/>
      <c r="W940" s="22" t="n"/>
      <c r="X940" s="22" t="n"/>
      <c r="Y940" s="22" t="n"/>
      <c r="Z940" s="22" t="n"/>
      <c r="AA940" s="22" t="n"/>
    </row>
    <row r="941" ht="11.25" customHeight="1">
      <c r="A941" s="22" t="n"/>
      <c r="B941" s="22" t="n"/>
      <c r="C941" s="22" t="n"/>
      <c r="D941" s="26" t="n"/>
      <c r="E941" s="27" t="n"/>
      <c r="F941" s="27" t="n"/>
      <c r="G941" s="22" t="n"/>
      <c r="H941" s="22" t="n"/>
      <c r="I941" s="22" t="n"/>
      <c r="J941" s="22" t="n"/>
      <c r="K941" s="22" t="n"/>
      <c r="L941" s="22" t="n"/>
      <c r="M941" s="22" t="n"/>
      <c r="N941" s="22" t="n"/>
      <c r="O941" s="22" t="n"/>
      <c r="P941" s="22" t="n"/>
      <c r="Q941" s="22" t="n"/>
      <c r="R941" s="22" t="n"/>
      <c r="S941" s="22" t="n"/>
      <c r="T941" s="22" t="n"/>
      <c r="U941" s="22" t="n"/>
      <c r="V941" s="22" t="n"/>
      <c r="W941" s="22" t="n"/>
      <c r="X941" s="22" t="n"/>
      <c r="Y941" s="22" t="n"/>
      <c r="Z941" s="22" t="n"/>
      <c r="AA941" s="22" t="n"/>
    </row>
    <row r="942" ht="11.25" customHeight="1">
      <c r="A942" s="22" t="n"/>
      <c r="B942" s="22" t="n"/>
      <c r="C942" s="22" t="n"/>
      <c r="D942" s="26" t="n"/>
      <c r="E942" s="27" t="n"/>
      <c r="F942" s="27" t="n"/>
      <c r="G942" s="22" t="n"/>
      <c r="H942" s="22" t="n"/>
      <c r="I942" s="22" t="n"/>
      <c r="J942" s="22" t="n"/>
      <c r="K942" s="22" t="n"/>
      <c r="L942" s="22" t="n"/>
      <c r="M942" s="22" t="n"/>
      <c r="N942" s="22" t="n"/>
      <c r="O942" s="22" t="n"/>
      <c r="P942" s="22" t="n"/>
      <c r="Q942" s="22" t="n"/>
      <c r="R942" s="22" t="n"/>
      <c r="S942" s="22" t="n"/>
      <c r="T942" s="22" t="n"/>
      <c r="U942" s="22" t="n"/>
      <c r="V942" s="22" t="n"/>
      <c r="W942" s="22" t="n"/>
      <c r="X942" s="22" t="n"/>
      <c r="Y942" s="22" t="n"/>
      <c r="Z942" s="22" t="n"/>
      <c r="AA942" s="22" t="n"/>
    </row>
    <row r="943" ht="11.25" customHeight="1">
      <c r="A943" s="22" t="n"/>
      <c r="B943" s="22" t="n"/>
      <c r="C943" s="22" t="n"/>
      <c r="D943" s="26" t="n"/>
      <c r="E943" s="27" t="n"/>
      <c r="F943" s="27" t="n"/>
      <c r="G943" s="22" t="n"/>
      <c r="H943" s="22" t="n"/>
      <c r="I943" s="22" t="n"/>
      <c r="J943" s="22" t="n"/>
      <c r="K943" s="22" t="n"/>
      <c r="L943" s="22" t="n"/>
      <c r="M943" s="22" t="n"/>
      <c r="N943" s="22" t="n"/>
      <c r="O943" s="22" t="n"/>
      <c r="P943" s="22" t="n"/>
      <c r="Q943" s="22" t="n"/>
      <c r="R943" s="22" t="n"/>
      <c r="S943" s="22" t="n"/>
      <c r="T943" s="22" t="n"/>
      <c r="U943" s="22" t="n"/>
      <c r="V943" s="22" t="n"/>
      <c r="W943" s="22" t="n"/>
      <c r="X943" s="22" t="n"/>
      <c r="Y943" s="22" t="n"/>
      <c r="Z943" s="22" t="n"/>
      <c r="AA943" s="22" t="n"/>
    </row>
    <row r="944" ht="11.25" customHeight="1">
      <c r="A944" s="22" t="n"/>
      <c r="B944" s="22" t="n"/>
      <c r="C944" s="22" t="n"/>
      <c r="D944" s="26" t="n"/>
      <c r="E944" s="27" t="n"/>
      <c r="F944" s="27" t="n"/>
      <c r="G944" s="22" t="n"/>
      <c r="H944" s="22" t="n"/>
      <c r="I944" s="22" t="n"/>
      <c r="J944" s="22" t="n"/>
      <c r="K944" s="22" t="n"/>
      <c r="L944" s="22" t="n"/>
      <c r="M944" s="22" t="n"/>
      <c r="N944" s="22" t="n"/>
      <c r="O944" s="22" t="n"/>
      <c r="P944" s="22" t="n"/>
      <c r="Q944" s="22" t="n"/>
      <c r="R944" s="22" t="n"/>
      <c r="S944" s="22" t="n"/>
      <c r="T944" s="22" t="n"/>
      <c r="U944" s="22" t="n"/>
      <c r="V944" s="22" t="n"/>
      <c r="W944" s="22" t="n"/>
      <c r="X944" s="22" t="n"/>
      <c r="Y944" s="22" t="n"/>
      <c r="Z944" s="22" t="n"/>
      <c r="AA944" s="22" t="n"/>
    </row>
    <row r="945" ht="11.25" customHeight="1">
      <c r="A945" s="22" t="n"/>
      <c r="B945" s="22" t="n"/>
      <c r="C945" s="22" t="n"/>
      <c r="D945" s="26" t="n"/>
      <c r="E945" s="27" t="n"/>
      <c r="F945" s="27" t="n"/>
      <c r="G945" s="22" t="n"/>
      <c r="H945" s="22" t="n"/>
      <c r="I945" s="22" t="n"/>
      <c r="J945" s="22" t="n"/>
      <c r="K945" s="22" t="n"/>
      <c r="L945" s="22" t="n"/>
      <c r="M945" s="22" t="n"/>
      <c r="N945" s="22" t="n"/>
      <c r="O945" s="22" t="n"/>
      <c r="P945" s="22" t="n"/>
      <c r="Q945" s="22" t="n"/>
      <c r="R945" s="22" t="n"/>
      <c r="S945" s="22" t="n"/>
      <c r="T945" s="22" t="n"/>
      <c r="U945" s="22" t="n"/>
      <c r="V945" s="22" t="n"/>
      <c r="W945" s="22" t="n"/>
      <c r="X945" s="22" t="n"/>
      <c r="Y945" s="22" t="n"/>
      <c r="Z945" s="22" t="n"/>
      <c r="AA945" s="22" t="n"/>
    </row>
    <row r="946" ht="11.25" customHeight="1">
      <c r="A946" s="22" t="n"/>
      <c r="B946" s="22" t="n"/>
      <c r="C946" s="22" t="n"/>
      <c r="D946" s="26" t="n"/>
      <c r="E946" s="27" t="n"/>
      <c r="F946" s="27" t="n"/>
      <c r="G946" s="22" t="n"/>
      <c r="H946" s="22" t="n"/>
      <c r="I946" s="22" t="n"/>
      <c r="J946" s="22" t="n"/>
      <c r="K946" s="22" t="n"/>
      <c r="L946" s="22" t="n"/>
      <c r="M946" s="22" t="n"/>
      <c r="N946" s="22" t="n"/>
      <c r="O946" s="22" t="n"/>
      <c r="P946" s="22" t="n"/>
      <c r="Q946" s="22" t="n"/>
      <c r="R946" s="22" t="n"/>
      <c r="S946" s="22" t="n"/>
      <c r="T946" s="22" t="n"/>
      <c r="U946" s="22" t="n"/>
      <c r="V946" s="22" t="n"/>
      <c r="W946" s="22" t="n"/>
      <c r="X946" s="22" t="n"/>
      <c r="Y946" s="22" t="n"/>
      <c r="Z946" s="22" t="n"/>
      <c r="AA946" s="22" t="n"/>
    </row>
    <row r="947" ht="11.25" customHeight="1">
      <c r="A947" s="22" t="n"/>
      <c r="B947" s="22" t="n"/>
      <c r="C947" s="22" t="n"/>
      <c r="D947" s="26" t="n"/>
      <c r="E947" s="27" t="n"/>
      <c r="F947" s="27" t="n"/>
      <c r="G947" s="22" t="n"/>
      <c r="H947" s="22" t="n"/>
      <c r="I947" s="22" t="n"/>
      <c r="J947" s="22" t="n"/>
      <c r="K947" s="22" t="n"/>
      <c r="L947" s="22" t="n"/>
      <c r="M947" s="22" t="n"/>
      <c r="N947" s="22" t="n"/>
      <c r="O947" s="22" t="n"/>
      <c r="P947" s="22" t="n"/>
      <c r="Q947" s="22" t="n"/>
      <c r="R947" s="22" t="n"/>
      <c r="S947" s="22" t="n"/>
      <c r="T947" s="22" t="n"/>
      <c r="U947" s="22" t="n"/>
      <c r="V947" s="22" t="n"/>
      <c r="W947" s="22" t="n"/>
      <c r="X947" s="22" t="n"/>
      <c r="Y947" s="22" t="n"/>
      <c r="Z947" s="22" t="n"/>
      <c r="AA947" s="22" t="n"/>
    </row>
    <row r="948" ht="11.25" customHeight="1">
      <c r="A948" s="22" t="n"/>
      <c r="B948" s="22" t="n"/>
      <c r="C948" s="22" t="n"/>
      <c r="D948" s="26" t="n"/>
      <c r="E948" s="27" t="n"/>
      <c r="F948" s="27" t="n"/>
      <c r="G948" s="22" t="n"/>
      <c r="H948" s="22" t="n"/>
      <c r="I948" s="22" t="n"/>
      <c r="J948" s="22" t="n"/>
      <c r="K948" s="22" t="n"/>
      <c r="L948" s="22" t="n"/>
      <c r="M948" s="22" t="n"/>
      <c r="N948" s="22" t="n"/>
      <c r="O948" s="22" t="n"/>
      <c r="P948" s="22" t="n"/>
      <c r="Q948" s="22" t="n"/>
      <c r="R948" s="22" t="n"/>
      <c r="S948" s="22" t="n"/>
      <c r="T948" s="22" t="n"/>
      <c r="U948" s="22" t="n"/>
      <c r="V948" s="22" t="n"/>
      <c r="W948" s="22" t="n"/>
      <c r="X948" s="22" t="n"/>
      <c r="Y948" s="22" t="n"/>
      <c r="Z948" s="22" t="n"/>
      <c r="AA948" s="22" t="n"/>
    </row>
    <row r="949" ht="11.25" customHeight="1">
      <c r="A949" s="22" t="n"/>
      <c r="B949" s="22" t="n"/>
      <c r="C949" s="22" t="n"/>
      <c r="D949" s="26" t="n"/>
      <c r="E949" s="27" t="n"/>
      <c r="F949" s="27" t="n"/>
      <c r="G949" s="22" t="n"/>
      <c r="H949" s="22" t="n"/>
      <c r="I949" s="22" t="n"/>
      <c r="J949" s="22" t="n"/>
      <c r="K949" s="22" t="n"/>
      <c r="L949" s="22" t="n"/>
      <c r="M949" s="22" t="n"/>
      <c r="N949" s="22" t="n"/>
      <c r="O949" s="22" t="n"/>
      <c r="P949" s="22" t="n"/>
      <c r="Q949" s="22" t="n"/>
      <c r="R949" s="22" t="n"/>
      <c r="S949" s="22" t="n"/>
      <c r="T949" s="22" t="n"/>
      <c r="U949" s="22" t="n"/>
      <c r="V949" s="22" t="n"/>
      <c r="W949" s="22" t="n"/>
      <c r="X949" s="22" t="n"/>
      <c r="Y949" s="22" t="n"/>
      <c r="Z949" s="22" t="n"/>
      <c r="AA949" s="22" t="n"/>
    </row>
    <row r="950" ht="11.25" customHeight="1">
      <c r="A950" s="22" t="n"/>
      <c r="B950" s="22" t="n"/>
      <c r="C950" s="22" t="n"/>
      <c r="D950" s="26" t="n"/>
      <c r="E950" s="27" t="n"/>
      <c r="F950" s="27" t="n"/>
      <c r="G950" s="22" t="n"/>
      <c r="H950" s="22" t="n"/>
      <c r="I950" s="22" t="n"/>
      <c r="J950" s="22" t="n"/>
      <c r="K950" s="22" t="n"/>
      <c r="L950" s="22" t="n"/>
      <c r="M950" s="22" t="n"/>
      <c r="N950" s="22" t="n"/>
      <c r="O950" s="22" t="n"/>
      <c r="P950" s="22" t="n"/>
      <c r="Q950" s="22" t="n"/>
      <c r="R950" s="22" t="n"/>
      <c r="S950" s="22" t="n"/>
      <c r="T950" s="22" t="n"/>
      <c r="U950" s="22" t="n"/>
      <c r="V950" s="22" t="n"/>
      <c r="W950" s="22" t="n"/>
      <c r="X950" s="22" t="n"/>
      <c r="Y950" s="22" t="n"/>
      <c r="Z950" s="22" t="n"/>
      <c r="AA950" s="22" t="n"/>
    </row>
    <row r="951" ht="11.25" customHeight="1">
      <c r="A951" s="22" t="n"/>
      <c r="B951" s="22" t="n"/>
      <c r="C951" s="22" t="n"/>
      <c r="D951" s="26" t="n"/>
      <c r="E951" s="27" t="n"/>
      <c r="F951" s="27" t="n"/>
      <c r="G951" s="22" t="n"/>
      <c r="H951" s="22" t="n"/>
      <c r="I951" s="22" t="n"/>
      <c r="J951" s="22" t="n"/>
      <c r="K951" s="22" t="n"/>
      <c r="L951" s="22" t="n"/>
      <c r="M951" s="22" t="n"/>
      <c r="N951" s="22" t="n"/>
      <c r="O951" s="22" t="n"/>
      <c r="P951" s="22" t="n"/>
      <c r="Q951" s="22" t="n"/>
      <c r="R951" s="22" t="n"/>
      <c r="S951" s="22" t="n"/>
      <c r="T951" s="22" t="n"/>
      <c r="U951" s="22" t="n"/>
      <c r="V951" s="22" t="n"/>
      <c r="W951" s="22" t="n"/>
      <c r="X951" s="22" t="n"/>
      <c r="Y951" s="22" t="n"/>
      <c r="Z951" s="22" t="n"/>
      <c r="AA951" s="22" t="n"/>
    </row>
    <row r="952" ht="11.25" customHeight="1">
      <c r="A952" s="22" t="n"/>
      <c r="B952" s="22" t="n"/>
      <c r="C952" s="22" t="n"/>
      <c r="D952" s="26" t="n"/>
      <c r="E952" s="27" t="n"/>
      <c r="F952" s="27" t="n"/>
      <c r="G952" s="22" t="n"/>
      <c r="H952" s="22" t="n"/>
      <c r="I952" s="22" t="n"/>
      <c r="J952" s="22" t="n"/>
      <c r="K952" s="22" t="n"/>
      <c r="L952" s="22" t="n"/>
      <c r="M952" s="22" t="n"/>
      <c r="N952" s="22" t="n"/>
      <c r="O952" s="22" t="n"/>
      <c r="P952" s="22" t="n"/>
      <c r="Q952" s="22" t="n"/>
      <c r="R952" s="22" t="n"/>
      <c r="S952" s="22" t="n"/>
      <c r="T952" s="22" t="n"/>
      <c r="U952" s="22" t="n"/>
      <c r="V952" s="22" t="n"/>
      <c r="W952" s="22" t="n"/>
      <c r="X952" s="22" t="n"/>
      <c r="Y952" s="22" t="n"/>
      <c r="Z952" s="22" t="n"/>
      <c r="AA952" s="22" t="n"/>
    </row>
    <row r="953" ht="11.25" customHeight="1">
      <c r="A953" s="22" t="n"/>
      <c r="B953" s="22" t="n"/>
      <c r="C953" s="22" t="n"/>
      <c r="D953" s="26" t="n"/>
      <c r="E953" s="27" t="n"/>
      <c r="F953" s="27" t="n"/>
      <c r="G953" s="22" t="n"/>
      <c r="H953" s="22" t="n"/>
      <c r="I953" s="22" t="n"/>
      <c r="J953" s="22" t="n"/>
      <c r="K953" s="22" t="n"/>
      <c r="L953" s="22" t="n"/>
      <c r="M953" s="22" t="n"/>
      <c r="N953" s="22" t="n"/>
      <c r="O953" s="22" t="n"/>
      <c r="P953" s="22" t="n"/>
      <c r="Q953" s="22" t="n"/>
      <c r="R953" s="22" t="n"/>
      <c r="S953" s="22" t="n"/>
      <c r="T953" s="22" t="n"/>
      <c r="U953" s="22" t="n"/>
      <c r="V953" s="22" t="n"/>
      <c r="W953" s="22" t="n"/>
      <c r="X953" s="22" t="n"/>
      <c r="Y953" s="22" t="n"/>
      <c r="Z953" s="22" t="n"/>
      <c r="AA953" s="22" t="n"/>
    </row>
    <row r="954" ht="11.25" customHeight="1">
      <c r="A954" s="22" t="n"/>
      <c r="B954" s="22" t="n"/>
      <c r="C954" s="22" t="n"/>
      <c r="D954" s="26" t="n"/>
      <c r="E954" s="27" t="n"/>
      <c r="F954" s="27" t="n"/>
      <c r="G954" s="22" t="n"/>
      <c r="H954" s="22" t="n"/>
      <c r="I954" s="22" t="n"/>
      <c r="J954" s="22" t="n"/>
      <c r="K954" s="22" t="n"/>
      <c r="L954" s="22" t="n"/>
      <c r="M954" s="22" t="n"/>
      <c r="N954" s="22" t="n"/>
      <c r="O954" s="22" t="n"/>
      <c r="P954" s="22" t="n"/>
      <c r="Q954" s="22" t="n"/>
      <c r="R954" s="22" t="n"/>
      <c r="S954" s="22" t="n"/>
      <c r="T954" s="22" t="n"/>
      <c r="U954" s="22" t="n"/>
      <c r="V954" s="22" t="n"/>
      <c r="W954" s="22" t="n"/>
      <c r="X954" s="22" t="n"/>
      <c r="Y954" s="22" t="n"/>
      <c r="Z954" s="22" t="n"/>
      <c r="AA954" s="22" t="n"/>
    </row>
    <row r="955" ht="11.25" customHeight="1">
      <c r="A955" s="22" t="n"/>
      <c r="B955" s="22" t="n"/>
      <c r="C955" s="22" t="n"/>
      <c r="D955" s="26" t="n"/>
      <c r="E955" s="27" t="n"/>
      <c r="F955" s="27" t="n"/>
      <c r="G955" s="22" t="n"/>
      <c r="H955" s="22" t="n"/>
      <c r="I955" s="22" t="n"/>
      <c r="J955" s="22" t="n"/>
      <c r="K955" s="22" t="n"/>
      <c r="L955" s="22" t="n"/>
      <c r="M955" s="22" t="n"/>
      <c r="N955" s="22" t="n"/>
      <c r="O955" s="22" t="n"/>
      <c r="P955" s="22" t="n"/>
      <c r="Q955" s="22" t="n"/>
      <c r="R955" s="22" t="n"/>
      <c r="S955" s="22" t="n"/>
      <c r="T955" s="22" t="n"/>
      <c r="U955" s="22" t="n"/>
      <c r="V955" s="22" t="n"/>
      <c r="W955" s="22" t="n"/>
      <c r="X955" s="22" t="n"/>
      <c r="Y955" s="22" t="n"/>
      <c r="Z955" s="22" t="n"/>
      <c r="AA955" s="22" t="n"/>
    </row>
    <row r="956" ht="11.25" customHeight="1">
      <c r="A956" s="22" t="n"/>
      <c r="B956" s="22" t="n"/>
      <c r="C956" s="22" t="n"/>
      <c r="D956" s="26" t="n"/>
      <c r="E956" s="27" t="n"/>
      <c r="F956" s="27" t="n"/>
      <c r="G956" s="22" t="n"/>
      <c r="H956" s="22" t="n"/>
      <c r="I956" s="22" t="n"/>
      <c r="J956" s="22" t="n"/>
      <c r="K956" s="22" t="n"/>
      <c r="L956" s="22" t="n"/>
      <c r="M956" s="22" t="n"/>
      <c r="N956" s="22" t="n"/>
      <c r="O956" s="22" t="n"/>
      <c r="P956" s="22" t="n"/>
      <c r="Q956" s="22" t="n"/>
      <c r="R956" s="22" t="n"/>
      <c r="S956" s="22" t="n"/>
      <c r="T956" s="22" t="n"/>
      <c r="U956" s="22" t="n"/>
      <c r="V956" s="22" t="n"/>
      <c r="W956" s="22" t="n"/>
      <c r="X956" s="22" t="n"/>
      <c r="Y956" s="22" t="n"/>
      <c r="Z956" s="22" t="n"/>
      <c r="AA956" s="22" t="n"/>
    </row>
    <row r="957" ht="11.25" customHeight="1">
      <c r="A957" s="22" t="n"/>
      <c r="B957" s="22" t="n"/>
      <c r="C957" s="22" t="n"/>
      <c r="D957" s="26" t="n"/>
      <c r="E957" s="27" t="n"/>
      <c r="F957" s="27" t="n"/>
      <c r="G957" s="22" t="n"/>
      <c r="H957" s="22" t="n"/>
      <c r="I957" s="22" t="n"/>
      <c r="J957" s="22" t="n"/>
      <c r="K957" s="22" t="n"/>
      <c r="L957" s="22" t="n"/>
      <c r="M957" s="22" t="n"/>
      <c r="N957" s="22" t="n"/>
      <c r="O957" s="22" t="n"/>
      <c r="P957" s="22" t="n"/>
      <c r="Q957" s="22" t="n"/>
      <c r="R957" s="22" t="n"/>
      <c r="S957" s="22" t="n"/>
      <c r="T957" s="22" t="n"/>
      <c r="U957" s="22" t="n"/>
      <c r="V957" s="22" t="n"/>
      <c r="W957" s="22" t="n"/>
      <c r="X957" s="22" t="n"/>
      <c r="Y957" s="22" t="n"/>
      <c r="Z957" s="22" t="n"/>
      <c r="AA957" s="22" t="n"/>
    </row>
    <row r="958" ht="11.25" customHeight="1">
      <c r="A958" s="22" t="n"/>
      <c r="B958" s="22" t="n"/>
      <c r="C958" s="22" t="n"/>
      <c r="D958" s="26" t="n"/>
      <c r="E958" s="27" t="n"/>
      <c r="F958" s="27" t="n"/>
      <c r="G958" s="22" t="n"/>
      <c r="H958" s="22" t="n"/>
      <c r="I958" s="22" t="n"/>
      <c r="J958" s="22" t="n"/>
      <c r="K958" s="22" t="n"/>
      <c r="L958" s="22" t="n"/>
      <c r="M958" s="22" t="n"/>
      <c r="N958" s="22" t="n"/>
      <c r="O958" s="22" t="n"/>
      <c r="P958" s="22" t="n"/>
      <c r="Q958" s="22" t="n"/>
      <c r="R958" s="22" t="n"/>
      <c r="S958" s="22" t="n"/>
      <c r="T958" s="22" t="n"/>
      <c r="U958" s="22" t="n"/>
      <c r="V958" s="22" t="n"/>
      <c r="W958" s="22" t="n"/>
      <c r="X958" s="22" t="n"/>
      <c r="Y958" s="22" t="n"/>
      <c r="Z958" s="22" t="n"/>
      <c r="AA958" s="22" t="n"/>
    </row>
    <row r="959" ht="11.25" customHeight="1">
      <c r="A959" s="22" t="n"/>
      <c r="B959" s="22" t="n"/>
      <c r="C959" s="22" t="n"/>
      <c r="D959" s="26" t="n"/>
      <c r="E959" s="27" t="n"/>
      <c r="F959" s="27" t="n"/>
      <c r="G959" s="22" t="n"/>
      <c r="H959" s="22" t="n"/>
      <c r="I959" s="22" t="n"/>
      <c r="J959" s="22" t="n"/>
      <c r="K959" s="22" t="n"/>
      <c r="L959" s="22" t="n"/>
      <c r="M959" s="22" t="n"/>
      <c r="N959" s="22" t="n"/>
      <c r="O959" s="22" t="n"/>
      <c r="P959" s="22" t="n"/>
      <c r="Q959" s="22" t="n"/>
      <c r="R959" s="22" t="n"/>
      <c r="S959" s="22" t="n"/>
      <c r="T959" s="22" t="n"/>
      <c r="U959" s="22" t="n"/>
      <c r="V959" s="22" t="n"/>
      <c r="W959" s="22" t="n"/>
      <c r="X959" s="22" t="n"/>
      <c r="Y959" s="22" t="n"/>
      <c r="Z959" s="22" t="n"/>
      <c r="AA959" s="22" t="n"/>
    </row>
    <row r="960" ht="11.25" customHeight="1">
      <c r="A960" s="22" t="n"/>
      <c r="B960" s="22" t="n"/>
      <c r="C960" s="22" t="n"/>
      <c r="D960" s="26" t="n"/>
      <c r="E960" s="27" t="n"/>
      <c r="F960" s="27" t="n"/>
      <c r="G960" s="22" t="n"/>
      <c r="H960" s="22" t="n"/>
      <c r="I960" s="22" t="n"/>
      <c r="J960" s="22" t="n"/>
      <c r="K960" s="22" t="n"/>
      <c r="L960" s="22" t="n"/>
      <c r="M960" s="22" t="n"/>
      <c r="N960" s="22" t="n"/>
      <c r="O960" s="22" t="n"/>
      <c r="P960" s="22" t="n"/>
      <c r="Q960" s="22" t="n"/>
      <c r="R960" s="22" t="n"/>
      <c r="S960" s="22" t="n"/>
      <c r="T960" s="22" t="n"/>
      <c r="U960" s="22" t="n"/>
      <c r="V960" s="22" t="n"/>
      <c r="W960" s="22" t="n"/>
      <c r="X960" s="22" t="n"/>
      <c r="Y960" s="22" t="n"/>
      <c r="Z960" s="22" t="n"/>
      <c r="AA960" s="22" t="n"/>
    </row>
    <row r="961" ht="11.25" customHeight="1">
      <c r="A961" s="22" t="n"/>
      <c r="B961" s="22" t="n"/>
      <c r="C961" s="22" t="n"/>
      <c r="D961" s="26" t="n"/>
      <c r="E961" s="27" t="n"/>
      <c r="F961" s="27" t="n"/>
      <c r="G961" s="22" t="n"/>
      <c r="H961" s="22" t="n"/>
      <c r="I961" s="22" t="n"/>
      <c r="J961" s="22" t="n"/>
      <c r="K961" s="22" t="n"/>
      <c r="L961" s="22" t="n"/>
      <c r="M961" s="22" t="n"/>
      <c r="N961" s="22" t="n"/>
      <c r="O961" s="22" t="n"/>
      <c r="P961" s="22" t="n"/>
      <c r="Q961" s="22" t="n"/>
      <c r="R961" s="22" t="n"/>
      <c r="S961" s="22" t="n"/>
      <c r="T961" s="22" t="n"/>
      <c r="U961" s="22" t="n"/>
      <c r="V961" s="22" t="n"/>
      <c r="W961" s="22" t="n"/>
      <c r="X961" s="22" t="n"/>
      <c r="Y961" s="22" t="n"/>
      <c r="Z961" s="22" t="n"/>
      <c r="AA961" s="22" t="n"/>
    </row>
    <row r="962" ht="11.25" customHeight="1">
      <c r="A962" s="22" t="n"/>
      <c r="B962" s="22" t="n"/>
      <c r="C962" s="22" t="n"/>
      <c r="D962" s="26" t="n"/>
      <c r="E962" s="27" t="n"/>
      <c r="F962" s="27" t="n"/>
      <c r="G962" s="22" t="n"/>
      <c r="H962" s="22" t="n"/>
      <c r="I962" s="22" t="n"/>
      <c r="J962" s="22" t="n"/>
      <c r="K962" s="22" t="n"/>
      <c r="L962" s="22" t="n"/>
      <c r="M962" s="22" t="n"/>
      <c r="N962" s="22" t="n"/>
      <c r="O962" s="22" t="n"/>
      <c r="P962" s="22" t="n"/>
      <c r="Q962" s="22" t="n"/>
      <c r="R962" s="22" t="n"/>
      <c r="S962" s="22" t="n"/>
      <c r="T962" s="22" t="n"/>
      <c r="U962" s="22" t="n"/>
      <c r="V962" s="22" t="n"/>
      <c r="W962" s="22" t="n"/>
      <c r="X962" s="22" t="n"/>
      <c r="Y962" s="22" t="n"/>
      <c r="Z962" s="22" t="n"/>
      <c r="AA962" s="22" t="n"/>
    </row>
    <row r="963" ht="11.25" customHeight="1">
      <c r="A963" s="22" t="n"/>
      <c r="B963" s="22" t="n"/>
      <c r="C963" s="22" t="n"/>
      <c r="D963" s="26" t="n"/>
      <c r="E963" s="27" t="n"/>
      <c r="F963" s="27" t="n"/>
      <c r="G963" s="22" t="n"/>
      <c r="H963" s="22" t="n"/>
      <c r="I963" s="22" t="n"/>
      <c r="J963" s="22" t="n"/>
      <c r="K963" s="22" t="n"/>
      <c r="L963" s="22" t="n"/>
      <c r="M963" s="22" t="n"/>
      <c r="N963" s="22" t="n"/>
      <c r="O963" s="22" t="n"/>
      <c r="P963" s="22" t="n"/>
      <c r="Q963" s="22" t="n"/>
      <c r="R963" s="22" t="n"/>
      <c r="S963" s="22" t="n"/>
      <c r="T963" s="22" t="n"/>
      <c r="U963" s="22" t="n"/>
      <c r="V963" s="22" t="n"/>
      <c r="W963" s="22" t="n"/>
      <c r="X963" s="22" t="n"/>
      <c r="Y963" s="22" t="n"/>
      <c r="Z963" s="22" t="n"/>
      <c r="AA963" s="22" t="n"/>
    </row>
    <row r="964" ht="11.25" customHeight="1">
      <c r="A964" s="22" t="n"/>
      <c r="B964" s="22" t="n"/>
      <c r="C964" s="22" t="n"/>
      <c r="D964" s="26" t="n"/>
      <c r="E964" s="27" t="n"/>
      <c r="F964" s="27" t="n"/>
      <c r="G964" s="22" t="n"/>
      <c r="H964" s="22" t="n"/>
      <c r="I964" s="22" t="n"/>
      <c r="J964" s="22" t="n"/>
      <c r="K964" s="22" t="n"/>
      <c r="L964" s="22" t="n"/>
      <c r="M964" s="22" t="n"/>
      <c r="N964" s="22" t="n"/>
      <c r="O964" s="22" t="n"/>
      <c r="P964" s="22" t="n"/>
      <c r="Q964" s="22" t="n"/>
      <c r="R964" s="22" t="n"/>
      <c r="S964" s="22" t="n"/>
      <c r="T964" s="22" t="n"/>
      <c r="U964" s="22" t="n"/>
      <c r="V964" s="22" t="n"/>
      <c r="W964" s="22" t="n"/>
      <c r="X964" s="22" t="n"/>
      <c r="Y964" s="22" t="n"/>
      <c r="Z964" s="22" t="n"/>
      <c r="AA964" s="22" t="n"/>
    </row>
    <row r="965" ht="11.25" customHeight="1">
      <c r="A965" s="22" t="n"/>
      <c r="B965" s="22" t="n"/>
      <c r="C965" s="22" t="n"/>
      <c r="D965" s="26" t="n"/>
      <c r="E965" s="27" t="n"/>
      <c r="F965" s="27" t="n"/>
      <c r="G965" s="22" t="n"/>
      <c r="H965" s="22" t="n"/>
      <c r="I965" s="22" t="n"/>
      <c r="J965" s="22" t="n"/>
      <c r="K965" s="22" t="n"/>
      <c r="L965" s="22" t="n"/>
      <c r="M965" s="22" t="n"/>
      <c r="N965" s="22" t="n"/>
      <c r="O965" s="22" t="n"/>
      <c r="P965" s="22" t="n"/>
      <c r="Q965" s="22" t="n"/>
      <c r="R965" s="22" t="n"/>
      <c r="S965" s="22" t="n"/>
      <c r="T965" s="22" t="n"/>
      <c r="U965" s="22" t="n"/>
      <c r="V965" s="22" t="n"/>
      <c r="W965" s="22" t="n"/>
      <c r="X965" s="22" t="n"/>
      <c r="Y965" s="22" t="n"/>
      <c r="Z965" s="22" t="n"/>
      <c r="AA965" s="22" t="n"/>
    </row>
    <row r="966" ht="11.25" customHeight="1">
      <c r="A966" s="22" t="n"/>
      <c r="B966" s="22" t="n"/>
      <c r="C966" s="22" t="n"/>
      <c r="D966" s="26" t="n"/>
      <c r="E966" s="27" t="n"/>
      <c r="F966" s="27" t="n"/>
      <c r="G966" s="22" t="n"/>
      <c r="H966" s="22" t="n"/>
      <c r="I966" s="22" t="n"/>
      <c r="J966" s="22" t="n"/>
      <c r="K966" s="22" t="n"/>
      <c r="L966" s="22" t="n"/>
      <c r="M966" s="22" t="n"/>
      <c r="N966" s="22" t="n"/>
      <c r="O966" s="22" t="n"/>
      <c r="P966" s="22" t="n"/>
      <c r="Q966" s="22" t="n"/>
      <c r="R966" s="22" t="n"/>
      <c r="S966" s="22" t="n"/>
      <c r="T966" s="22" t="n"/>
      <c r="U966" s="22" t="n"/>
      <c r="V966" s="22" t="n"/>
      <c r="W966" s="22" t="n"/>
      <c r="X966" s="22" t="n"/>
      <c r="Y966" s="22" t="n"/>
      <c r="Z966" s="22" t="n"/>
      <c r="AA966" s="22" t="n"/>
    </row>
    <row r="967" ht="11.25" customHeight="1">
      <c r="A967" s="22" t="n"/>
      <c r="B967" s="22" t="n"/>
      <c r="C967" s="22" t="n"/>
      <c r="D967" s="26" t="n"/>
      <c r="E967" s="27" t="n"/>
      <c r="F967" s="27" t="n"/>
      <c r="G967" s="22" t="n"/>
      <c r="H967" s="22" t="n"/>
      <c r="I967" s="22" t="n"/>
      <c r="J967" s="22" t="n"/>
      <c r="K967" s="22" t="n"/>
      <c r="L967" s="22" t="n"/>
      <c r="M967" s="22" t="n"/>
      <c r="N967" s="22" t="n"/>
      <c r="O967" s="22" t="n"/>
      <c r="P967" s="22" t="n"/>
      <c r="Q967" s="22" t="n"/>
      <c r="R967" s="22" t="n"/>
      <c r="S967" s="22" t="n"/>
      <c r="T967" s="22" t="n"/>
      <c r="U967" s="22" t="n"/>
      <c r="V967" s="22" t="n"/>
      <c r="W967" s="22" t="n"/>
      <c r="X967" s="22" t="n"/>
      <c r="Y967" s="22" t="n"/>
      <c r="Z967" s="22" t="n"/>
      <c r="AA967" s="22" t="n"/>
    </row>
    <row r="968" ht="11.25" customHeight="1">
      <c r="A968" s="22" t="n"/>
      <c r="B968" s="22" t="n"/>
      <c r="C968" s="22" t="n"/>
      <c r="D968" s="26" t="n"/>
      <c r="E968" s="27" t="n"/>
      <c r="F968" s="27" t="n"/>
      <c r="G968" s="22" t="n"/>
      <c r="H968" s="22" t="n"/>
      <c r="I968" s="22" t="n"/>
      <c r="J968" s="22" t="n"/>
      <c r="K968" s="22" t="n"/>
      <c r="L968" s="22" t="n"/>
      <c r="M968" s="22" t="n"/>
      <c r="N968" s="22" t="n"/>
      <c r="O968" s="22" t="n"/>
      <c r="P968" s="22" t="n"/>
      <c r="Q968" s="22" t="n"/>
      <c r="R968" s="22" t="n"/>
      <c r="S968" s="22" t="n"/>
      <c r="T968" s="22" t="n"/>
      <c r="U968" s="22" t="n"/>
      <c r="V968" s="22" t="n"/>
      <c r="W968" s="22" t="n"/>
      <c r="X968" s="22" t="n"/>
      <c r="Y968" s="22" t="n"/>
      <c r="Z968" s="22" t="n"/>
      <c r="AA968" s="22" t="n"/>
    </row>
    <row r="969" ht="11.25" customHeight="1">
      <c r="A969" s="22" t="n"/>
      <c r="B969" s="22" t="n"/>
      <c r="C969" s="22" t="n"/>
      <c r="D969" s="26" t="n"/>
      <c r="E969" s="27" t="n"/>
      <c r="F969" s="27" t="n"/>
      <c r="G969" s="22" t="n"/>
      <c r="H969" s="22" t="n"/>
      <c r="I969" s="22" t="n"/>
      <c r="J969" s="22" t="n"/>
      <c r="K969" s="22" t="n"/>
      <c r="L969" s="22" t="n"/>
      <c r="M969" s="22" t="n"/>
      <c r="N969" s="22" t="n"/>
      <c r="O969" s="22" t="n"/>
      <c r="P969" s="22" t="n"/>
      <c r="Q969" s="22" t="n"/>
      <c r="R969" s="22" t="n"/>
      <c r="S969" s="22" t="n"/>
      <c r="T969" s="22" t="n"/>
      <c r="U969" s="22" t="n"/>
      <c r="V969" s="22" t="n"/>
      <c r="W969" s="22" t="n"/>
      <c r="X969" s="22" t="n"/>
      <c r="Y969" s="22" t="n"/>
      <c r="Z969" s="22" t="n"/>
      <c r="AA969" s="22" t="n"/>
    </row>
    <row r="970" ht="11.25" customHeight="1">
      <c r="A970" s="22" t="n"/>
      <c r="B970" s="22" t="n"/>
      <c r="C970" s="22" t="n"/>
      <c r="D970" s="26" t="n"/>
      <c r="E970" s="27" t="n"/>
      <c r="F970" s="27" t="n"/>
      <c r="G970" s="22" t="n"/>
      <c r="H970" s="22" t="n"/>
      <c r="I970" s="22" t="n"/>
      <c r="J970" s="22" t="n"/>
      <c r="K970" s="22" t="n"/>
      <c r="L970" s="22" t="n"/>
      <c r="M970" s="22" t="n"/>
      <c r="N970" s="22" t="n"/>
      <c r="O970" s="22" t="n"/>
      <c r="P970" s="22" t="n"/>
      <c r="Q970" s="22" t="n"/>
      <c r="R970" s="22" t="n"/>
      <c r="S970" s="22" t="n"/>
      <c r="T970" s="22" t="n"/>
      <c r="U970" s="22" t="n"/>
      <c r="V970" s="22" t="n"/>
      <c r="W970" s="22" t="n"/>
      <c r="X970" s="22" t="n"/>
      <c r="Y970" s="22" t="n"/>
      <c r="Z970" s="22" t="n"/>
      <c r="AA970" s="22" t="n"/>
    </row>
    <row r="971" ht="11.25" customHeight="1">
      <c r="A971" s="22" t="n"/>
      <c r="B971" s="22" t="n"/>
      <c r="C971" s="22" t="n"/>
      <c r="D971" s="26" t="n"/>
      <c r="E971" s="27" t="n"/>
      <c r="F971" s="27" t="n"/>
      <c r="G971" s="22" t="n"/>
      <c r="H971" s="22" t="n"/>
      <c r="I971" s="22" t="n"/>
      <c r="J971" s="22" t="n"/>
      <c r="K971" s="22" t="n"/>
      <c r="L971" s="22" t="n"/>
      <c r="M971" s="22" t="n"/>
      <c r="N971" s="22" t="n"/>
      <c r="O971" s="22" t="n"/>
      <c r="P971" s="22" t="n"/>
      <c r="Q971" s="22" t="n"/>
      <c r="R971" s="22" t="n"/>
      <c r="S971" s="22" t="n"/>
      <c r="T971" s="22" t="n"/>
      <c r="U971" s="22" t="n"/>
      <c r="V971" s="22" t="n"/>
      <c r="W971" s="22" t="n"/>
      <c r="X971" s="22" t="n"/>
      <c r="Y971" s="22" t="n"/>
      <c r="Z971" s="22" t="n"/>
      <c r="AA971" s="22" t="n"/>
    </row>
    <row r="972" ht="11.25" customHeight="1">
      <c r="A972" s="22" t="n"/>
      <c r="B972" s="22" t="n"/>
      <c r="C972" s="22" t="n"/>
      <c r="D972" s="26" t="n"/>
      <c r="E972" s="27" t="n"/>
      <c r="F972" s="27" t="n"/>
      <c r="G972" s="22" t="n"/>
      <c r="H972" s="22" t="n"/>
      <c r="I972" s="22" t="n"/>
      <c r="J972" s="22" t="n"/>
      <c r="K972" s="22" t="n"/>
      <c r="L972" s="22" t="n"/>
      <c r="M972" s="22" t="n"/>
      <c r="N972" s="22" t="n"/>
      <c r="O972" s="22" t="n"/>
      <c r="P972" s="22" t="n"/>
      <c r="Q972" s="22" t="n"/>
      <c r="R972" s="22" t="n"/>
      <c r="S972" s="22" t="n"/>
      <c r="T972" s="22" t="n"/>
      <c r="U972" s="22" t="n"/>
      <c r="V972" s="22" t="n"/>
      <c r="W972" s="22" t="n"/>
      <c r="X972" s="22" t="n"/>
      <c r="Y972" s="22" t="n"/>
      <c r="Z972" s="22" t="n"/>
      <c r="AA972" s="22" t="n"/>
    </row>
    <row r="973" ht="11.25" customHeight="1">
      <c r="A973" s="22" t="n"/>
      <c r="B973" s="22" t="n"/>
      <c r="C973" s="22" t="n"/>
      <c r="D973" s="26" t="n"/>
      <c r="E973" s="27" t="n"/>
      <c r="F973" s="27" t="n"/>
      <c r="G973" s="22" t="n"/>
      <c r="H973" s="22" t="n"/>
      <c r="I973" s="22" t="n"/>
      <c r="J973" s="22" t="n"/>
      <c r="K973" s="22" t="n"/>
      <c r="L973" s="22" t="n"/>
      <c r="M973" s="22" t="n"/>
      <c r="N973" s="22" t="n"/>
      <c r="O973" s="22" t="n"/>
      <c r="P973" s="22" t="n"/>
      <c r="Q973" s="22" t="n"/>
      <c r="R973" s="22" t="n"/>
      <c r="S973" s="22" t="n"/>
      <c r="T973" s="22" t="n"/>
      <c r="U973" s="22" t="n"/>
      <c r="V973" s="22" t="n"/>
      <c r="W973" s="22" t="n"/>
      <c r="X973" s="22" t="n"/>
      <c r="Y973" s="22" t="n"/>
      <c r="Z973" s="22" t="n"/>
      <c r="AA973" s="22" t="n"/>
    </row>
    <row r="974" ht="11.25" customHeight="1">
      <c r="A974" s="22" t="n"/>
      <c r="B974" s="22" t="n"/>
      <c r="C974" s="22" t="n"/>
      <c r="D974" s="26" t="n"/>
      <c r="E974" s="27" t="n"/>
      <c r="F974" s="27" t="n"/>
      <c r="G974" s="22" t="n"/>
      <c r="H974" s="22" t="n"/>
      <c r="I974" s="22" t="n"/>
      <c r="J974" s="22" t="n"/>
      <c r="K974" s="22" t="n"/>
      <c r="L974" s="22" t="n"/>
      <c r="M974" s="22" t="n"/>
      <c r="N974" s="22" t="n"/>
      <c r="O974" s="22" t="n"/>
      <c r="P974" s="22" t="n"/>
      <c r="Q974" s="22" t="n"/>
      <c r="R974" s="22" t="n"/>
      <c r="S974" s="22" t="n"/>
      <c r="T974" s="22" t="n"/>
      <c r="U974" s="22" t="n"/>
      <c r="V974" s="22" t="n"/>
      <c r="W974" s="22" t="n"/>
      <c r="X974" s="22" t="n"/>
      <c r="Y974" s="22" t="n"/>
      <c r="Z974" s="22" t="n"/>
      <c r="AA974" s="22" t="n"/>
    </row>
    <row r="975" ht="11.25" customHeight="1">
      <c r="A975" s="22" t="n"/>
      <c r="B975" s="22" t="n"/>
      <c r="C975" s="22" t="n"/>
      <c r="D975" s="26" t="n"/>
      <c r="E975" s="27" t="n"/>
      <c r="F975" s="27" t="n"/>
      <c r="G975" s="22" t="n"/>
      <c r="H975" s="22" t="n"/>
      <c r="I975" s="22" t="n"/>
      <c r="J975" s="22" t="n"/>
      <c r="K975" s="22" t="n"/>
      <c r="L975" s="22" t="n"/>
      <c r="M975" s="22" t="n"/>
      <c r="N975" s="22" t="n"/>
      <c r="O975" s="22" t="n"/>
      <c r="P975" s="22" t="n"/>
      <c r="Q975" s="22" t="n"/>
      <c r="R975" s="22" t="n"/>
      <c r="S975" s="22" t="n"/>
      <c r="T975" s="22" t="n"/>
      <c r="U975" s="22" t="n"/>
      <c r="V975" s="22" t="n"/>
      <c r="W975" s="22" t="n"/>
      <c r="X975" s="22" t="n"/>
      <c r="Y975" s="22" t="n"/>
      <c r="Z975" s="22" t="n"/>
      <c r="AA975" s="22" t="n"/>
    </row>
    <row r="976" ht="11.25" customHeight="1">
      <c r="A976" s="22" t="n"/>
      <c r="B976" s="22" t="n"/>
      <c r="C976" s="22" t="n"/>
      <c r="D976" s="26" t="n"/>
      <c r="E976" s="27" t="n"/>
      <c r="F976" s="27" t="n"/>
      <c r="G976" s="22" t="n"/>
      <c r="H976" s="22" t="n"/>
      <c r="I976" s="22" t="n"/>
      <c r="J976" s="22" t="n"/>
      <c r="K976" s="22" t="n"/>
      <c r="L976" s="22" t="n"/>
      <c r="M976" s="22" t="n"/>
      <c r="N976" s="22" t="n"/>
      <c r="O976" s="22" t="n"/>
      <c r="P976" s="22" t="n"/>
      <c r="Q976" s="22" t="n"/>
      <c r="R976" s="22" t="n"/>
      <c r="S976" s="22" t="n"/>
      <c r="T976" s="22" t="n"/>
      <c r="U976" s="22" t="n"/>
      <c r="V976" s="22" t="n"/>
      <c r="W976" s="22" t="n"/>
      <c r="X976" s="22" t="n"/>
      <c r="Y976" s="22" t="n"/>
      <c r="Z976" s="22" t="n"/>
      <c r="AA976" s="22" t="n"/>
    </row>
    <row r="977" ht="11.25" customHeight="1">
      <c r="A977" s="22" t="n"/>
      <c r="B977" s="22" t="n"/>
      <c r="C977" s="22" t="n"/>
      <c r="D977" s="26" t="n"/>
      <c r="E977" s="27" t="n"/>
      <c r="F977" s="27" t="n"/>
      <c r="G977" s="22" t="n"/>
      <c r="H977" s="22" t="n"/>
      <c r="I977" s="22" t="n"/>
      <c r="J977" s="22" t="n"/>
      <c r="K977" s="22" t="n"/>
      <c r="L977" s="22" t="n"/>
      <c r="M977" s="22" t="n"/>
      <c r="N977" s="22" t="n"/>
      <c r="O977" s="22" t="n"/>
      <c r="P977" s="22" t="n"/>
      <c r="Q977" s="22" t="n"/>
      <c r="R977" s="22" t="n"/>
      <c r="S977" s="22" t="n"/>
      <c r="T977" s="22" t="n"/>
      <c r="U977" s="22" t="n"/>
      <c r="V977" s="22" t="n"/>
      <c r="W977" s="22" t="n"/>
      <c r="X977" s="22" t="n"/>
      <c r="Y977" s="22" t="n"/>
      <c r="Z977" s="22" t="n"/>
      <c r="AA977" s="22" t="n"/>
    </row>
    <row r="978" ht="11.25" customHeight="1">
      <c r="A978" s="22" t="n"/>
      <c r="B978" s="22" t="n"/>
      <c r="C978" s="22" t="n"/>
      <c r="D978" s="26" t="n"/>
      <c r="E978" s="27" t="n"/>
      <c r="F978" s="27" t="n"/>
      <c r="G978" s="22" t="n"/>
      <c r="H978" s="22" t="n"/>
      <c r="I978" s="22" t="n"/>
      <c r="J978" s="22" t="n"/>
      <c r="K978" s="22" t="n"/>
      <c r="L978" s="22" t="n"/>
      <c r="M978" s="22" t="n"/>
      <c r="N978" s="22" t="n"/>
      <c r="O978" s="22" t="n"/>
      <c r="P978" s="22" t="n"/>
      <c r="Q978" s="22" t="n"/>
      <c r="R978" s="22" t="n"/>
      <c r="S978" s="22" t="n"/>
      <c r="T978" s="22" t="n"/>
      <c r="U978" s="22" t="n"/>
      <c r="V978" s="22" t="n"/>
      <c r="W978" s="22" t="n"/>
      <c r="X978" s="22" t="n"/>
      <c r="Y978" s="22" t="n"/>
      <c r="Z978" s="22" t="n"/>
      <c r="AA978" s="22" t="n"/>
    </row>
    <row r="979" ht="11.25" customHeight="1">
      <c r="A979" s="22" t="n"/>
      <c r="B979" s="22" t="n"/>
      <c r="C979" s="22" t="n"/>
      <c r="D979" s="26" t="n"/>
      <c r="E979" s="27" t="n"/>
      <c r="F979" s="27" t="n"/>
      <c r="G979" s="22" t="n"/>
      <c r="H979" s="22" t="n"/>
      <c r="I979" s="22" t="n"/>
      <c r="J979" s="22" t="n"/>
      <c r="K979" s="22" t="n"/>
      <c r="L979" s="22" t="n"/>
      <c r="M979" s="22" t="n"/>
      <c r="N979" s="22" t="n"/>
      <c r="O979" s="22" t="n"/>
      <c r="P979" s="22" t="n"/>
      <c r="Q979" s="22" t="n"/>
      <c r="R979" s="22" t="n"/>
      <c r="S979" s="22" t="n"/>
      <c r="T979" s="22" t="n"/>
      <c r="U979" s="22" t="n"/>
      <c r="V979" s="22" t="n"/>
      <c r="W979" s="22" t="n"/>
      <c r="X979" s="22" t="n"/>
      <c r="Y979" s="22" t="n"/>
      <c r="Z979" s="22" t="n"/>
      <c r="AA979" s="22" t="n"/>
    </row>
    <row r="980" ht="11.25" customHeight="1">
      <c r="A980" s="22" t="n"/>
      <c r="B980" s="22" t="n"/>
      <c r="C980" s="22" t="n"/>
      <c r="D980" s="26" t="n"/>
      <c r="E980" s="27" t="n"/>
      <c r="F980" s="27" t="n"/>
      <c r="G980" s="22" t="n"/>
      <c r="H980" s="22" t="n"/>
      <c r="I980" s="22" t="n"/>
      <c r="J980" s="22" t="n"/>
      <c r="K980" s="22" t="n"/>
      <c r="L980" s="22" t="n"/>
      <c r="M980" s="22" t="n"/>
      <c r="N980" s="22" t="n"/>
      <c r="O980" s="22" t="n"/>
      <c r="P980" s="22" t="n"/>
      <c r="Q980" s="22" t="n"/>
      <c r="R980" s="22" t="n"/>
      <c r="S980" s="22" t="n"/>
      <c r="T980" s="22" t="n"/>
      <c r="U980" s="22" t="n"/>
      <c r="V980" s="22" t="n"/>
      <c r="W980" s="22" t="n"/>
      <c r="X980" s="22" t="n"/>
      <c r="Y980" s="22" t="n"/>
      <c r="Z980" s="22" t="n"/>
      <c r="AA980" s="22" t="n"/>
    </row>
    <row r="981" ht="11.25" customHeight="1">
      <c r="A981" s="22" t="n"/>
      <c r="B981" s="22" t="n"/>
      <c r="C981" s="22" t="n"/>
      <c r="D981" s="26" t="n"/>
      <c r="E981" s="27" t="n"/>
      <c r="F981" s="27" t="n"/>
      <c r="G981" s="22" t="n"/>
      <c r="H981" s="22" t="n"/>
      <c r="I981" s="22" t="n"/>
      <c r="J981" s="22" t="n"/>
      <c r="K981" s="22" t="n"/>
      <c r="L981" s="22" t="n"/>
      <c r="M981" s="22" t="n"/>
      <c r="N981" s="22" t="n"/>
      <c r="O981" s="22" t="n"/>
      <c r="P981" s="22" t="n"/>
      <c r="Q981" s="22" t="n"/>
      <c r="R981" s="22" t="n"/>
      <c r="S981" s="22" t="n"/>
      <c r="T981" s="22" t="n"/>
      <c r="U981" s="22" t="n"/>
      <c r="V981" s="22" t="n"/>
      <c r="W981" s="22" t="n"/>
      <c r="X981" s="22" t="n"/>
      <c r="Y981" s="22" t="n"/>
      <c r="Z981" s="22" t="n"/>
      <c r="AA981" s="22" t="n"/>
    </row>
    <row r="982" ht="11.25" customHeight="1">
      <c r="A982" s="22" t="n"/>
      <c r="B982" s="22" t="n"/>
      <c r="C982" s="22" t="n"/>
      <c r="D982" s="26" t="n"/>
      <c r="E982" s="27" t="n"/>
      <c r="F982" s="27" t="n"/>
      <c r="G982" s="22" t="n"/>
      <c r="H982" s="22" t="n"/>
      <c r="I982" s="22" t="n"/>
      <c r="J982" s="22" t="n"/>
      <c r="K982" s="22" t="n"/>
      <c r="L982" s="22" t="n"/>
      <c r="M982" s="22" t="n"/>
      <c r="N982" s="22" t="n"/>
      <c r="O982" s="22" t="n"/>
      <c r="P982" s="22" t="n"/>
      <c r="Q982" s="22" t="n"/>
      <c r="R982" s="22" t="n"/>
      <c r="S982" s="22" t="n"/>
      <c r="T982" s="22" t="n"/>
      <c r="U982" s="22" t="n"/>
      <c r="V982" s="22" t="n"/>
      <c r="W982" s="22" t="n"/>
      <c r="X982" s="22" t="n"/>
      <c r="Y982" s="22" t="n"/>
      <c r="Z982" s="22" t="n"/>
      <c r="AA982" s="22" t="n"/>
    </row>
    <row r="983" ht="11.25" customHeight="1">
      <c r="A983" s="22" t="n"/>
      <c r="B983" s="22" t="n"/>
      <c r="C983" s="22" t="n"/>
      <c r="D983" s="26" t="n"/>
      <c r="E983" s="27" t="n"/>
      <c r="F983" s="27" t="n"/>
      <c r="G983" s="22" t="n"/>
      <c r="H983" s="22" t="n"/>
      <c r="I983" s="22" t="n"/>
      <c r="J983" s="22" t="n"/>
      <c r="K983" s="22" t="n"/>
      <c r="L983" s="22" t="n"/>
      <c r="M983" s="22" t="n"/>
      <c r="N983" s="22" t="n"/>
      <c r="O983" s="22" t="n"/>
      <c r="P983" s="22" t="n"/>
      <c r="Q983" s="22" t="n"/>
      <c r="R983" s="22" t="n"/>
      <c r="S983" s="22" t="n"/>
      <c r="T983" s="22" t="n"/>
      <c r="U983" s="22" t="n"/>
      <c r="V983" s="22" t="n"/>
      <c r="W983" s="22" t="n"/>
      <c r="X983" s="22" t="n"/>
      <c r="Y983" s="22" t="n"/>
      <c r="Z983" s="22" t="n"/>
      <c r="AA983" s="22" t="n"/>
    </row>
    <row r="984" ht="11.25" customHeight="1">
      <c r="A984" s="22" t="n"/>
      <c r="B984" s="22" t="n"/>
      <c r="C984" s="22" t="n"/>
      <c r="D984" s="26" t="n"/>
      <c r="E984" s="27" t="n"/>
      <c r="F984" s="27" t="n"/>
      <c r="G984" s="22" t="n"/>
      <c r="H984" s="22" t="n"/>
      <c r="I984" s="22" t="n"/>
      <c r="J984" s="22" t="n"/>
      <c r="K984" s="22" t="n"/>
      <c r="L984" s="22" t="n"/>
      <c r="M984" s="22" t="n"/>
      <c r="N984" s="22" t="n"/>
      <c r="O984" s="22" t="n"/>
      <c r="P984" s="22" t="n"/>
      <c r="Q984" s="22" t="n"/>
      <c r="R984" s="22" t="n"/>
      <c r="S984" s="22" t="n"/>
      <c r="T984" s="22" t="n"/>
      <c r="U984" s="22" t="n"/>
      <c r="V984" s="22" t="n"/>
      <c r="W984" s="22" t="n"/>
      <c r="X984" s="22" t="n"/>
      <c r="Y984" s="22" t="n"/>
      <c r="Z984" s="22" t="n"/>
      <c r="AA984" s="22" t="n"/>
    </row>
    <row r="985" ht="11.25" customHeight="1">
      <c r="A985" s="22" t="n"/>
      <c r="B985" s="22" t="n"/>
      <c r="C985" s="22" t="n"/>
      <c r="D985" s="26" t="n"/>
      <c r="E985" s="27" t="n"/>
      <c r="F985" s="27" t="n"/>
      <c r="G985" s="22" t="n"/>
      <c r="H985" s="22" t="n"/>
      <c r="I985" s="22" t="n"/>
      <c r="J985" s="22" t="n"/>
      <c r="K985" s="22" t="n"/>
      <c r="L985" s="22" t="n"/>
      <c r="M985" s="22" t="n"/>
      <c r="N985" s="22" t="n"/>
      <c r="O985" s="22" t="n"/>
      <c r="P985" s="22" t="n"/>
      <c r="Q985" s="22" t="n"/>
      <c r="R985" s="22" t="n"/>
      <c r="S985" s="22" t="n"/>
      <c r="T985" s="22" t="n"/>
      <c r="U985" s="22" t="n"/>
      <c r="V985" s="22" t="n"/>
      <c r="W985" s="22" t="n"/>
      <c r="X985" s="22" t="n"/>
      <c r="Y985" s="22" t="n"/>
      <c r="Z985" s="22" t="n"/>
      <c r="AA985" s="22" t="n"/>
    </row>
    <row r="986" ht="11.25" customHeight="1">
      <c r="A986" s="22" t="n"/>
      <c r="B986" s="22" t="n"/>
      <c r="C986" s="22" t="n"/>
      <c r="D986" s="26" t="n"/>
      <c r="E986" s="27" t="n"/>
      <c r="F986" s="27" t="n"/>
      <c r="G986" s="22" t="n"/>
      <c r="H986" s="22" t="n"/>
      <c r="I986" s="22" t="n"/>
      <c r="J986" s="22" t="n"/>
      <c r="K986" s="22" t="n"/>
      <c r="L986" s="22" t="n"/>
      <c r="M986" s="22" t="n"/>
      <c r="N986" s="22" t="n"/>
      <c r="O986" s="22" t="n"/>
      <c r="P986" s="22" t="n"/>
      <c r="Q986" s="22" t="n"/>
      <c r="R986" s="22" t="n"/>
      <c r="S986" s="22" t="n"/>
      <c r="T986" s="22" t="n"/>
      <c r="U986" s="22" t="n"/>
      <c r="V986" s="22" t="n"/>
      <c r="W986" s="22" t="n"/>
      <c r="X986" s="22" t="n"/>
      <c r="Y986" s="22" t="n"/>
      <c r="Z986" s="22" t="n"/>
      <c r="AA986" s="22" t="n"/>
    </row>
    <row r="987" ht="11.25" customHeight="1">
      <c r="A987" s="22" t="n"/>
      <c r="B987" s="22" t="n"/>
      <c r="C987" s="22" t="n"/>
      <c r="D987" s="26" t="n"/>
      <c r="E987" s="27" t="n"/>
      <c r="F987" s="27" t="n"/>
      <c r="G987" s="22" t="n"/>
      <c r="H987" s="22" t="n"/>
      <c r="I987" s="22" t="n"/>
      <c r="J987" s="22" t="n"/>
      <c r="K987" s="22" t="n"/>
      <c r="L987" s="22" t="n"/>
      <c r="M987" s="22" t="n"/>
      <c r="N987" s="22" t="n"/>
      <c r="O987" s="22" t="n"/>
      <c r="P987" s="22" t="n"/>
      <c r="Q987" s="22" t="n"/>
      <c r="R987" s="22" t="n"/>
      <c r="S987" s="22" t="n"/>
      <c r="T987" s="22" t="n"/>
      <c r="U987" s="22" t="n"/>
      <c r="V987" s="22" t="n"/>
      <c r="W987" s="22" t="n"/>
      <c r="X987" s="22" t="n"/>
      <c r="Y987" s="22" t="n"/>
      <c r="Z987" s="22" t="n"/>
      <c r="AA987" s="22" t="n"/>
    </row>
    <row r="988" ht="11.25" customHeight="1">
      <c r="A988" s="22" t="n"/>
      <c r="B988" s="22" t="n"/>
      <c r="C988" s="22" t="n"/>
      <c r="D988" s="26" t="n"/>
      <c r="E988" s="27" t="n"/>
      <c r="F988" s="27" t="n"/>
      <c r="G988" s="22" t="n"/>
      <c r="H988" s="22" t="n"/>
      <c r="I988" s="22" t="n"/>
      <c r="J988" s="22" t="n"/>
      <c r="K988" s="22" t="n"/>
      <c r="L988" s="22" t="n"/>
      <c r="M988" s="22" t="n"/>
      <c r="N988" s="22" t="n"/>
      <c r="O988" s="22" t="n"/>
      <c r="P988" s="22" t="n"/>
      <c r="Q988" s="22" t="n"/>
      <c r="R988" s="22" t="n"/>
      <c r="S988" s="22" t="n"/>
      <c r="T988" s="22" t="n"/>
      <c r="U988" s="22" t="n"/>
      <c r="V988" s="22" t="n"/>
      <c r="W988" s="22" t="n"/>
      <c r="X988" s="22" t="n"/>
      <c r="Y988" s="22" t="n"/>
      <c r="Z988" s="22" t="n"/>
      <c r="AA988" s="22" t="n"/>
    </row>
    <row r="989" ht="11.25" customHeight="1">
      <c r="A989" s="22" t="n"/>
      <c r="B989" s="22" t="n"/>
      <c r="C989" s="22" t="n"/>
      <c r="D989" s="26" t="n"/>
      <c r="E989" s="27" t="n"/>
      <c r="F989" s="27" t="n"/>
      <c r="G989" s="22" t="n"/>
      <c r="H989" s="22" t="n"/>
      <c r="I989" s="22" t="n"/>
      <c r="J989" s="22" t="n"/>
      <c r="K989" s="22" t="n"/>
      <c r="L989" s="22" t="n"/>
      <c r="M989" s="22" t="n"/>
      <c r="N989" s="22" t="n"/>
      <c r="O989" s="22" t="n"/>
      <c r="P989" s="22" t="n"/>
      <c r="Q989" s="22" t="n"/>
      <c r="R989" s="22" t="n"/>
      <c r="S989" s="22" t="n"/>
      <c r="T989" s="22" t="n"/>
      <c r="U989" s="22" t="n"/>
      <c r="V989" s="22" t="n"/>
      <c r="W989" s="22" t="n"/>
      <c r="X989" s="22" t="n"/>
      <c r="Y989" s="22" t="n"/>
      <c r="Z989" s="22" t="n"/>
      <c r="AA989" s="22" t="n"/>
    </row>
    <row r="990" ht="11.25" customHeight="1">
      <c r="A990" s="22" t="n"/>
      <c r="B990" s="22" t="n"/>
      <c r="C990" s="22" t="n"/>
      <c r="D990" s="26" t="n"/>
      <c r="E990" s="27" t="n"/>
      <c r="F990" s="27" t="n"/>
      <c r="G990" s="22" t="n"/>
      <c r="H990" s="22" t="n"/>
      <c r="I990" s="22" t="n"/>
      <c r="J990" s="22" t="n"/>
      <c r="K990" s="22" t="n"/>
      <c r="L990" s="22" t="n"/>
      <c r="M990" s="22" t="n"/>
      <c r="N990" s="22" t="n"/>
      <c r="O990" s="22" t="n"/>
      <c r="P990" s="22" t="n"/>
      <c r="Q990" s="22" t="n"/>
      <c r="R990" s="22" t="n"/>
      <c r="S990" s="22" t="n"/>
      <c r="T990" s="22" t="n"/>
      <c r="U990" s="22" t="n"/>
      <c r="V990" s="22" t="n"/>
      <c r="W990" s="22" t="n"/>
      <c r="X990" s="22" t="n"/>
      <c r="Y990" s="22" t="n"/>
      <c r="Z990" s="22" t="n"/>
      <c r="AA990" s="22" t="n"/>
    </row>
    <row r="991" ht="11.25" customHeight="1">
      <c r="A991" s="22" t="n"/>
      <c r="B991" s="22" t="n"/>
      <c r="C991" s="22" t="n"/>
      <c r="D991" s="26" t="n"/>
      <c r="E991" s="27" t="n"/>
      <c r="F991" s="27" t="n"/>
      <c r="G991" s="22" t="n"/>
      <c r="H991" s="22" t="n"/>
      <c r="I991" s="22" t="n"/>
      <c r="J991" s="22" t="n"/>
      <c r="K991" s="22" t="n"/>
      <c r="L991" s="22" t="n"/>
      <c r="M991" s="22" t="n"/>
      <c r="N991" s="22" t="n"/>
      <c r="O991" s="22" t="n"/>
      <c r="P991" s="22" t="n"/>
      <c r="Q991" s="22" t="n"/>
      <c r="R991" s="22" t="n"/>
      <c r="S991" s="22" t="n"/>
      <c r="T991" s="22" t="n"/>
      <c r="U991" s="22" t="n"/>
      <c r="V991" s="22" t="n"/>
      <c r="W991" s="22" t="n"/>
      <c r="X991" s="22" t="n"/>
      <c r="Y991" s="22" t="n"/>
      <c r="Z991" s="22" t="n"/>
      <c r="AA991" s="22" t="n"/>
    </row>
    <row r="992" ht="11.25" customHeight="1">
      <c r="A992" s="22" t="n"/>
      <c r="B992" s="22" t="n"/>
      <c r="C992" s="22" t="n"/>
      <c r="D992" s="26" t="n"/>
      <c r="E992" s="27" t="n"/>
      <c r="F992" s="27" t="n"/>
      <c r="G992" s="22" t="n"/>
      <c r="H992" s="22" t="n"/>
      <c r="I992" s="22" t="n"/>
      <c r="J992" s="22" t="n"/>
      <c r="K992" s="22" t="n"/>
      <c r="L992" s="22" t="n"/>
      <c r="M992" s="22" t="n"/>
      <c r="N992" s="22" t="n"/>
      <c r="O992" s="22" t="n"/>
      <c r="P992" s="22" t="n"/>
      <c r="Q992" s="22" t="n"/>
      <c r="R992" s="22" t="n"/>
      <c r="S992" s="22" t="n"/>
      <c r="T992" s="22" t="n"/>
      <c r="U992" s="22" t="n"/>
      <c r="V992" s="22" t="n"/>
      <c r="W992" s="22" t="n"/>
      <c r="X992" s="22" t="n"/>
      <c r="Y992" s="22" t="n"/>
      <c r="Z992" s="22" t="n"/>
      <c r="AA992" s="22" t="n"/>
    </row>
    <row r="993" ht="11.25" customHeight="1">
      <c r="A993" s="22" t="n"/>
      <c r="B993" s="22" t="n"/>
      <c r="C993" s="22" t="n"/>
      <c r="D993" s="26" t="n"/>
      <c r="E993" s="27" t="n"/>
      <c r="F993" s="27" t="n"/>
      <c r="G993" s="22" t="n"/>
      <c r="H993" s="22" t="n"/>
      <c r="I993" s="22" t="n"/>
      <c r="J993" s="22" t="n"/>
      <c r="K993" s="22" t="n"/>
      <c r="L993" s="22" t="n"/>
      <c r="M993" s="22" t="n"/>
      <c r="N993" s="22" t="n"/>
      <c r="O993" s="22" t="n"/>
      <c r="P993" s="22" t="n"/>
      <c r="Q993" s="22" t="n"/>
      <c r="R993" s="22" t="n"/>
      <c r="S993" s="22" t="n"/>
      <c r="T993" s="22" t="n"/>
      <c r="U993" s="22" t="n"/>
      <c r="V993" s="22" t="n"/>
      <c r="W993" s="22" t="n"/>
      <c r="X993" s="22" t="n"/>
      <c r="Y993" s="22" t="n"/>
      <c r="Z993" s="22" t="n"/>
      <c r="AA993" s="22" t="n"/>
    </row>
    <row r="994" ht="11.25" customHeight="1">
      <c r="A994" s="22" t="n"/>
      <c r="B994" s="22" t="n"/>
      <c r="C994" s="22" t="n"/>
      <c r="D994" s="26" t="n"/>
      <c r="E994" s="27" t="n"/>
      <c r="F994" s="27" t="n"/>
      <c r="G994" s="22" t="n"/>
      <c r="H994" s="22" t="n"/>
      <c r="I994" s="22" t="n"/>
      <c r="J994" s="22" t="n"/>
      <c r="K994" s="22" t="n"/>
      <c r="L994" s="22" t="n"/>
      <c r="M994" s="22" t="n"/>
      <c r="N994" s="22" t="n"/>
      <c r="O994" s="22" t="n"/>
      <c r="P994" s="22" t="n"/>
      <c r="Q994" s="22" t="n"/>
      <c r="R994" s="22" t="n"/>
      <c r="S994" s="22" t="n"/>
      <c r="T994" s="22" t="n"/>
      <c r="U994" s="22" t="n"/>
      <c r="V994" s="22" t="n"/>
      <c r="W994" s="22" t="n"/>
      <c r="X994" s="22" t="n"/>
      <c r="Y994" s="22" t="n"/>
      <c r="Z994" s="22" t="n"/>
      <c r="AA994" s="22" t="n"/>
    </row>
    <row r="995" ht="11.25" customHeight="1">
      <c r="A995" s="22" t="n"/>
      <c r="B995" s="22" t="n"/>
      <c r="C995" s="22" t="n"/>
      <c r="D995" s="26" t="n"/>
      <c r="E995" s="27" t="n"/>
      <c r="F995" s="27" t="n"/>
      <c r="G995" s="22" t="n"/>
      <c r="H995" s="22" t="n"/>
      <c r="I995" s="22" t="n"/>
      <c r="J995" s="22" t="n"/>
      <c r="K995" s="22" t="n"/>
      <c r="L995" s="22" t="n"/>
      <c r="M995" s="22" t="n"/>
      <c r="N995" s="22" t="n"/>
      <c r="O995" s="22" t="n"/>
      <c r="P995" s="22" t="n"/>
      <c r="Q995" s="22" t="n"/>
      <c r="R995" s="22" t="n"/>
      <c r="S995" s="22" t="n"/>
      <c r="T995" s="22" t="n"/>
      <c r="U995" s="22" t="n"/>
      <c r="V995" s="22" t="n"/>
      <c r="W995" s="22" t="n"/>
      <c r="X995" s="22" t="n"/>
      <c r="Y995" s="22" t="n"/>
      <c r="Z995" s="22" t="n"/>
      <c r="AA995" s="22" t="n"/>
    </row>
    <row r="996" ht="11.25" customHeight="1">
      <c r="A996" s="22" t="n"/>
      <c r="B996" s="22" t="n"/>
      <c r="C996" s="22" t="n"/>
      <c r="D996" s="26" t="n"/>
      <c r="E996" s="27" t="n"/>
      <c r="F996" s="27" t="n"/>
      <c r="G996" s="22" t="n"/>
      <c r="H996" s="22" t="n"/>
      <c r="I996" s="22" t="n"/>
      <c r="J996" s="22" t="n"/>
      <c r="K996" s="22" t="n"/>
      <c r="L996" s="22" t="n"/>
      <c r="M996" s="22" t="n"/>
      <c r="N996" s="22" t="n"/>
      <c r="O996" s="22" t="n"/>
      <c r="P996" s="22" t="n"/>
      <c r="Q996" s="22" t="n"/>
      <c r="R996" s="22" t="n"/>
      <c r="S996" s="22" t="n"/>
      <c r="T996" s="22" t="n"/>
      <c r="U996" s="22" t="n"/>
      <c r="V996" s="22" t="n"/>
      <c r="W996" s="22" t="n"/>
      <c r="X996" s="22" t="n"/>
      <c r="Y996" s="22" t="n"/>
      <c r="Z996" s="22" t="n"/>
      <c r="AA996" s="22" t="n"/>
    </row>
    <row r="997" ht="11.25" customHeight="1">
      <c r="A997" s="22" t="n"/>
      <c r="B997" s="22" t="n"/>
      <c r="C997" s="22" t="n"/>
      <c r="D997" s="26" t="n"/>
      <c r="E997" s="27" t="n"/>
      <c r="F997" s="27" t="n"/>
      <c r="G997" s="22" t="n"/>
      <c r="H997" s="22" t="n"/>
      <c r="I997" s="22" t="n"/>
      <c r="J997" s="22" t="n"/>
      <c r="K997" s="22" t="n"/>
      <c r="L997" s="22" t="n"/>
      <c r="M997" s="22" t="n"/>
      <c r="N997" s="22" t="n"/>
      <c r="O997" s="22" t="n"/>
      <c r="P997" s="22" t="n"/>
      <c r="Q997" s="22" t="n"/>
      <c r="R997" s="22" t="n"/>
      <c r="S997" s="22" t="n"/>
      <c r="T997" s="22" t="n"/>
      <c r="U997" s="22" t="n"/>
      <c r="V997" s="22" t="n"/>
      <c r="W997" s="22" t="n"/>
      <c r="X997" s="22" t="n"/>
      <c r="Y997" s="22" t="n"/>
      <c r="Z997" s="22" t="n"/>
      <c r="AA997" s="22" t="n"/>
    </row>
    <row r="998" ht="11.25" customHeight="1">
      <c r="A998" s="22" t="n"/>
      <c r="B998" s="22" t="n"/>
      <c r="C998" s="22" t="n"/>
      <c r="D998" s="26" t="n"/>
      <c r="E998" s="27" t="n"/>
      <c r="F998" s="27" t="n"/>
      <c r="G998" s="22" t="n"/>
      <c r="H998" s="22" t="n"/>
      <c r="I998" s="22" t="n"/>
      <c r="J998" s="22" t="n"/>
      <c r="K998" s="22" t="n"/>
      <c r="L998" s="22" t="n"/>
      <c r="M998" s="22" t="n"/>
      <c r="N998" s="22" t="n"/>
      <c r="O998" s="22" t="n"/>
      <c r="P998" s="22" t="n"/>
      <c r="Q998" s="22" t="n"/>
      <c r="R998" s="22" t="n"/>
      <c r="S998" s="22" t="n"/>
      <c r="T998" s="22" t="n"/>
      <c r="U998" s="22" t="n"/>
      <c r="V998" s="22" t="n"/>
      <c r="W998" s="22" t="n"/>
      <c r="X998" s="22" t="n"/>
      <c r="Y998" s="22" t="n"/>
      <c r="Z998" s="22" t="n"/>
      <c r="AA998" s="22" t="n"/>
    </row>
    <row r="999" ht="11.25" customHeight="1">
      <c r="A999" s="22" t="n"/>
      <c r="B999" s="22" t="n"/>
      <c r="C999" s="22" t="n"/>
      <c r="D999" s="26" t="n"/>
      <c r="E999" s="27" t="n"/>
      <c r="F999" s="27" t="n"/>
      <c r="G999" s="22" t="n"/>
      <c r="H999" s="22" t="n"/>
      <c r="I999" s="22" t="n"/>
      <c r="J999" s="22" t="n"/>
      <c r="K999" s="22" t="n"/>
      <c r="L999" s="22" t="n"/>
      <c r="M999" s="22" t="n"/>
      <c r="N999" s="22" t="n"/>
      <c r="O999" s="22" t="n"/>
      <c r="P999" s="22" t="n"/>
      <c r="Q999" s="22" t="n"/>
      <c r="R999" s="22" t="n"/>
      <c r="S999" s="22" t="n"/>
      <c r="T999" s="22" t="n"/>
      <c r="U999" s="22" t="n"/>
      <c r="V999" s="22" t="n"/>
      <c r="W999" s="22" t="n"/>
      <c r="X999" s="22" t="n"/>
      <c r="Y999" s="22" t="n"/>
      <c r="Z999" s="22" t="n"/>
      <c r="AA999" s="22" t="n"/>
    </row>
    <row r="1000" ht="11.25" customHeight="1">
      <c r="A1000" s="22" t="n"/>
      <c r="B1000" s="22" t="n"/>
      <c r="C1000" s="22" t="n"/>
      <c r="D1000" s="26" t="n"/>
      <c r="E1000" s="27" t="n"/>
      <c r="F1000" s="27" t="n"/>
      <c r="G1000" s="22" t="n"/>
      <c r="H1000" s="22" t="n"/>
      <c r="I1000" s="22" t="n"/>
      <c r="J1000" s="22" t="n"/>
      <c r="K1000" s="22" t="n"/>
      <c r="L1000" s="22" t="n"/>
      <c r="M1000" s="22" t="n"/>
      <c r="N1000" s="22" t="n"/>
      <c r="O1000" s="22" t="n"/>
      <c r="P1000" s="22" t="n"/>
      <c r="Q1000" s="22" t="n"/>
      <c r="R1000" s="22" t="n"/>
      <c r="S1000" s="22" t="n"/>
      <c r="T1000" s="22" t="n"/>
      <c r="U1000" s="22" t="n"/>
      <c r="V1000" s="22" t="n"/>
      <c r="W1000" s="22" t="n"/>
      <c r="X1000" s="22" t="n"/>
      <c r="Y1000" s="22" t="n"/>
      <c r="Z1000" s="22" t="n"/>
      <c r="AA1000" s="22" t="n"/>
    </row>
  </sheetData>
  <pageMargins left="0.511811024" right="0.511811024" top="0.787401575" bottom="0.7874015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workbookViewId="0">
      <selection activeCell="I34" sqref="I34"/>
    </sheetView>
  </sheetViews>
  <sheetFormatPr baseColWidth="8" defaultRowHeight="15"/>
  <cols>
    <col width="14.28515625" customWidth="1" min="2" max="2"/>
    <col width="10.42578125" customWidth="1" min="3" max="3"/>
    <col width="11.42578125" customWidth="1" min="4" max="4"/>
    <col width="11.28515625" customWidth="1" min="5" max="5"/>
  </cols>
  <sheetData>
    <row r="1" ht="45" customFormat="1" customHeight="1" s="1">
      <c r="A1" s="2" t="inlineStr">
        <is>
          <t>Mese</t>
        </is>
      </c>
      <c r="B1" s="2" t="inlineStr">
        <is>
          <t>Tariffa (R$)</t>
        </is>
      </c>
      <c r="C1" s="2" t="inlineStr">
        <is>
          <t>Inflazione (%)</t>
        </is>
      </c>
      <c r="D1" s="2" t="inlineStr">
        <is>
          <t>Indice Tariffa</t>
        </is>
      </c>
      <c r="E1" s="2" t="inlineStr">
        <is>
          <t>Indice Inflazione</t>
        </is>
      </c>
    </row>
    <row r="2">
      <c r="A2" s="30" t="n">
        <v>45505</v>
      </c>
      <c r="B2" s="37" t="n">
        <v>0.9436287800000001</v>
      </c>
      <c r="C2" s="39" t="n">
        <v>-0.02</v>
      </c>
      <c r="D2" s="31" t="n">
        <v>100</v>
      </c>
      <c r="E2" s="31" t="n">
        <v>100</v>
      </c>
    </row>
    <row r="3">
      <c r="A3" s="3" t="n">
        <v>45536</v>
      </c>
      <c r="B3" s="18" t="n">
        <v>0.94995059</v>
      </c>
      <c r="C3" s="21" t="n">
        <v>0.44</v>
      </c>
      <c r="D3" s="4">
        <f>(B3/$B$2)*100</f>
        <v/>
      </c>
      <c r="E3" s="38">
        <f>(E2*(1+C3/100))</f>
        <v/>
      </c>
    </row>
    <row r="4">
      <c r="A4" s="3" t="n">
        <v>45566</v>
      </c>
      <c r="B4" s="18" t="n">
        <v>0.95706369</v>
      </c>
      <c r="C4" s="21" t="n">
        <v>0.5600000000000001</v>
      </c>
      <c r="D4" s="4">
        <f>(B4/$B$2)*100</f>
        <v/>
      </c>
      <c r="E4" s="4">
        <f>(E3*(1+C4/100))</f>
        <v/>
      </c>
    </row>
    <row r="5">
      <c r="A5" s="3" t="n">
        <v>45597</v>
      </c>
      <c r="B5" s="18" t="n">
        <v>0.95655929</v>
      </c>
      <c r="C5" s="21" t="n">
        <v>0.39</v>
      </c>
      <c r="D5" s="4">
        <f>(B5/$B$2)*100</f>
        <v/>
      </c>
      <c r="E5" s="4">
        <f>(E4*(1+C5/100))</f>
        <v/>
      </c>
    </row>
    <row r="6">
      <c r="A6" s="3" t="n">
        <v>45627</v>
      </c>
      <c r="B6" s="18" t="n">
        <v>0.95686187</v>
      </c>
      <c r="C6" s="21" t="n">
        <v>0.52</v>
      </c>
      <c r="D6" s="4">
        <f>(B6/$B$2)*100</f>
        <v/>
      </c>
      <c r="E6" s="4">
        <f>(E5*(1+C6/100))</f>
        <v/>
      </c>
    </row>
    <row r="7">
      <c r="A7" s="3" t="n">
        <v>45658</v>
      </c>
      <c r="B7" s="18" t="n">
        <v>0.94304042</v>
      </c>
      <c r="C7" s="21" t="n">
        <v>0.16</v>
      </c>
      <c r="D7" s="4">
        <f>(B7/$B$2)*100</f>
        <v/>
      </c>
      <c r="E7" s="4">
        <f>(E6*(1+C7/100))</f>
        <v/>
      </c>
    </row>
    <row r="8">
      <c r="A8" s="3" t="n">
        <v>45689</v>
      </c>
      <c r="B8" s="18" t="n">
        <v>0.9762132100000001</v>
      </c>
      <c r="C8" s="21" t="n">
        <v>1.31</v>
      </c>
      <c r="D8" s="4">
        <f>(B8/$B$2)*100</f>
        <v/>
      </c>
      <c r="E8" s="4">
        <f>(E7*(1+C8/100))</f>
        <v/>
      </c>
    </row>
    <row r="9">
      <c r="A9" s="3" t="n">
        <v>45717</v>
      </c>
      <c r="B9" s="18" t="n">
        <v>0.9579729699999999</v>
      </c>
      <c r="C9" s="21" t="n">
        <v>0.5600000000000001</v>
      </c>
      <c r="D9" s="4">
        <f>(B9/$B$2)*100</f>
        <v/>
      </c>
      <c r="E9" s="4">
        <f>(E8*(1+C9/100))</f>
        <v/>
      </c>
    </row>
    <row r="10">
      <c r="A10" s="3" t="n">
        <v>45748</v>
      </c>
      <c r="B10" s="18" t="n">
        <v>0.98119725</v>
      </c>
      <c r="C10" s="21" t="n">
        <v>0.43</v>
      </c>
      <c r="D10" s="4">
        <f>(B10/$B$2)*100</f>
        <v/>
      </c>
      <c r="E10" s="4">
        <f>(E9*(1+C10/100))</f>
        <v/>
      </c>
    </row>
    <row r="11">
      <c r="A11" s="3" t="n">
        <v>45778</v>
      </c>
      <c r="B11" s="18" t="n">
        <v>0.98489525</v>
      </c>
      <c r="C11" s="21" t="n">
        <v>0.26</v>
      </c>
      <c r="D11" s="4">
        <f>(B11/$B$2)*100</f>
        <v/>
      </c>
      <c r="E11" s="4">
        <f>(E10*(1+C11/100))</f>
        <v/>
      </c>
    </row>
    <row r="12">
      <c r="A12" s="3" t="n">
        <v>45809</v>
      </c>
      <c r="B12" s="18">
        <f>0.56795504+0.40914819</f>
        <v/>
      </c>
      <c r="C12" s="21" t="n">
        <v>0.24</v>
      </c>
      <c r="D12" s="4">
        <f>(B12/$B$2)*100</f>
        <v/>
      </c>
      <c r="E12" s="4">
        <f>(E11*(1+C12/100))</f>
        <v/>
      </c>
    </row>
    <row r="13">
      <c r="A13" s="3" t="n">
        <v>45839</v>
      </c>
      <c r="B13" s="18">
        <f>0.57858977+0.41680933</f>
        <v/>
      </c>
      <c r="C13" s="21" t="n">
        <v>0.26</v>
      </c>
      <c r="D13" s="4">
        <f>(B13/$B$2)*100</f>
        <v/>
      </c>
      <c r="E13" s="4">
        <f>(E12*(1+C13/100))</f>
        <v/>
      </c>
    </row>
    <row r="14">
      <c r="A14" s="3" t="n">
        <v>45870</v>
      </c>
      <c r="B14" s="18">
        <f>0.5770462+0.41569736</f>
        <v/>
      </c>
      <c r="C14" s="21" t="n">
        <v>-0.11</v>
      </c>
      <c r="D14" s="4">
        <f>(B14/$B$2)*100</f>
        <v/>
      </c>
      <c r="E14" s="4">
        <f>(E13*(1+C14/100))</f>
        <v/>
      </c>
    </row>
    <row r="15">
      <c r="A15" s="3" t="n">
        <v>45901</v>
      </c>
      <c r="B15" s="18">
        <f>0.57222222+0.41222222</f>
        <v/>
      </c>
      <c r="C15" s="21" t="n">
        <v>0.48</v>
      </c>
      <c r="D15" s="4">
        <f>(B15/$B$2)*100</f>
        <v/>
      </c>
      <c r="E15" s="4">
        <f>(E14*(1+C15/100))</f>
        <v/>
      </c>
    </row>
    <row r="16">
      <c r="A16" s="3" t="n">
        <v>45931</v>
      </c>
      <c r="B16" s="18">
        <f>0.57723099+0.41583048</f>
        <v/>
      </c>
      <c r="C16" s="21" t="n">
        <v>0.09</v>
      </c>
      <c r="D16" s="4">
        <f>(B16/$B$2)*100</f>
        <v/>
      </c>
      <c r="E16" s="4">
        <f>(E15*(1+C16/100))</f>
        <v/>
      </c>
    </row>
    <row r="17">
      <c r="A17" s="3" t="n">
        <v>45962</v>
      </c>
      <c r="B17" s="18">
        <f>0.58283035+0.41986419</f>
        <v/>
      </c>
      <c r="C17" s="21" t="n">
        <v>0.18</v>
      </c>
      <c r="D17" s="4">
        <f>(B17/$B$2)*100</f>
        <v/>
      </c>
      <c r="E17" s="4">
        <f>(E16*(1+C17/100))</f>
        <v/>
      </c>
    </row>
    <row r="18">
      <c r="A18" s="3" t="n">
        <v>45992</v>
      </c>
      <c r="B18" s="18">
        <f>0.58283035+0.41986419</f>
        <v/>
      </c>
      <c r="C18" s="21" t="n">
        <v>0.33</v>
      </c>
      <c r="D18" s="4">
        <f>(B18/$B$2)*100</f>
        <v/>
      </c>
      <c r="E18" s="4">
        <f>(E17*(1+C18/100))</f>
        <v/>
      </c>
    </row>
    <row r="19">
      <c r="A19" s="3" t="n">
        <v>46023</v>
      </c>
      <c r="B19" s="18">
        <f>0.5761854+0.41507725</f>
        <v/>
      </c>
      <c r="C19" s="21" t="n">
        <v>0.33</v>
      </c>
      <c r="D19" s="4">
        <f>(B19/$B$2)*100</f>
        <v/>
      </c>
      <c r="E19" s="4">
        <f>(E18*(1+C19/100))</f>
        <v/>
      </c>
    </row>
    <row r="20">
      <c r="A20" s="3" t="n">
        <v>46054</v>
      </c>
      <c r="B20" s="18">
        <f>0.57355748+0.41318413</f>
        <v/>
      </c>
      <c r="C20" s="21" t="n">
        <v>0.7</v>
      </c>
      <c r="D20" s="4">
        <f>(B20/$B$2)*100</f>
        <v/>
      </c>
      <c r="E20" s="4">
        <f>(E19*(1+C20/100))</f>
        <v/>
      </c>
    </row>
    <row r="21">
      <c r="A21" s="3" t="n">
        <v>46082</v>
      </c>
      <c r="B21" s="18">
        <f>0.57575596+0.41476788</f>
        <v/>
      </c>
      <c r="C21" s="21" t="n">
        <v>0.88</v>
      </c>
      <c r="D21" s="4">
        <f>(B21/$B$2)*100</f>
        <v/>
      </c>
      <c r="E21" s="4">
        <f>(E20*(1+C21/100))</f>
        <v/>
      </c>
    </row>
    <row r="22">
      <c r="A22" s="3" t="n">
        <v>46113</v>
      </c>
      <c r="B22" s="18">
        <f>0.57337503+0.41305269</f>
        <v/>
      </c>
      <c r="C22" s="21" t="n">
        <v>0.67</v>
      </c>
      <c r="D22" s="38">
        <f>(B22/$B$2)*100</f>
        <v/>
      </c>
      <c r="E22" s="4">
        <f>(E21*(1+C22/100))</f>
        <v/>
      </c>
    </row>
    <row r="23">
      <c r="A23" s="3" t="n">
        <v>46143</v>
      </c>
      <c r="B23" s="18">
        <f>0.6177727+0.40735685</f>
        <v/>
      </c>
      <c r="C23" s="21" t="n">
        <v>0.58</v>
      </c>
      <c r="D23" s="4">
        <f>(B23/$B$2)*100</f>
        <v/>
      </c>
      <c r="E23" s="4">
        <f>(E22*(1+C23/100))</f>
        <v/>
      </c>
    </row>
    <row r="24">
      <c r="A24" s="3" t="n">
        <v>46174</v>
      </c>
      <c r="B24" s="18">
        <f>0.64164094+0.39033734</f>
        <v/>
      </c>
      <c r="C24" s="21" t="n">
        <v>0.16</v>
      </c>
      <c r="D24" s="4">
        <f>(B24/$B$2)*100</f>
        <v/>
      </c>
      <c r="E24" s="4">
        <f>(E23*(1+C24/100))</f>
        <v/>
      </c>
    </row>
    <row r="25">
      <c r="A25" s="3" t="n">
        <v>46204</v>
      </c>
      <c r="B25" s="18">
        <f>0.64164094+0.39033734</f>
        <v/>
      </c>
      <c r="C25" s="21" t="n">
        <v>0.07000000000000001</v>
      </c>
      <c r="D25" s="4">
        <f>(B25/$B$2)*100</f>
        <v/>
      </c>
      <c r="E25" s="4">
        <f>(E24*(1+C25/100))</f>
        <v/>
      </c>
    </row>
    <row r="26">
      <c r="A26" s="3" t="n">
        <v>46235</v>
      </c>
      <c r="B26" s="18" t="n">
        <v>1.0347311</v>
      </c>
      <c r="C26" s="21" t="n">
        <v>-0.32</v>
      </c>
      <c r="D26" s="4">
        <f>(B26/)*100</f>
        <v/>
      </c>
      <c r="E26" s="4">
        <f>(E25*(1+C26/100))</f>
        <v/>
      </c>
    </row>
    <row r="27">
      <c r="A27" s="40" t="n">
        <v>46266</v>
      </c>
      <c r="B27" s="4" t="n">
        <v>1.04487662</v>
      </c>
      <c r="C27" s="21" t="n"/>
      <c r="D27" s="4">
        <f>(B27/)*100</f>
        <v/>
      </c>
      <c r="E27" s="4" t="n"/>
    </row>
    <row r="28">
      <c r="A28" s="4" t="n"/>
      <c r="B28" s="4" t="n"/>
      <c r="C28" s="21" t="n"/>
      <c r="D28" s="4" t="n"/>
      <c r="E28" s="4" t="n"/>
    </row>
    <row r="29">
      <c r="A29" s="4" t="n"/>
      <c r="B29" s="4" t="n"/>
      <c r="C29" s="21" t="n"/>
      <c r="D29" s="4" t="n"/>
      <c r="E29" s="4" t="n"/>
    </row>
    <row r="30">
      <c r="A30" s="4" t="n"/>
      <c r="B30" s="4" t="n"/>
      <c r="C30" s="21" t="n"/>
      <c r="D30" s="4" t="n"/>
      <c r="E30" s="4" t="n"/>
    </row>
    <row r="31">
      <c r="A31" s="4" t="n"/>
      <c r="B31" s="4" t="n"/>
      <c r="C31" s="21" t="n"/>
      <c r="D31" s="4" t="n"/>
      <c r="E31" s="4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V21" sqref="V2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J23" sqref="J23"/>
    </sheetView>
  </sheetViews>
  <sheetFormatPr baseColWidth="8" defaultRowHeight="15"/>
  <cols>
    <col width="16.42578125" customWidth="1" min="1" max="1"/>
    <col width="98.7109375" customWidth="1" min="10" max="10"/>
  </cols>
  <sheetData>
    <row r="1" ht="15.75" customHeight="1">
      <c r="A1" s="32" t="inlineStr">
        <is>
          <t>Mese</t>
        </is>
      </c>
      <c r="B1" s="32" t="n">
        <v>2022</v>
      </c>
      <c r="C1" s="32" t="n">
        <v>2023</v>
      </c>
      <c r="D1" s="32" t="n">
        <v>2024</v>
      </c>
      <c r="E1" s="32" t="n">
        <v>2025</v>
      </c>
      <c r="F1" s="32" t="n">
        <v>2026</v>
      </c>
      <c r="G1" s="32" t="n">
        <v>2027</v>
      </c>
    </row>
    <row r="2" ht="15.75" customHeight="1">
      <c r="A2" s="33" t="inlineStr">
        <is>
          <t>Gennaio</t>
        </is>
      </c>
      <c r="B2" s="21" t="n">
        <v>0.54</v>
      </c>
      <c r="C2" s="21" t="n">
        <v>0.53</v>
      </c>
      <c r="D2" s="21" t="n">
        <v>0.42</v>
      </c>
      <c r="E2" s="21" t="n">
        <v>0.16</v>
      </c>
      <c r="F2" s="21" t="n">
        <v>0.33</v>
      </c>
      <c r="G2" s="21" t="n"/>
    </row>
    <row r="3" ht="15.75" customHeight="1">
      <c r="A3" s="33" t="inlineStr">
        <is>
          <t>Febbraio</t>
        </is>
      </c>
      <c r="B3" s="21" t="n">
        <v>1.01</v>
      </c>
      <c r="C3" s="21" t="n">
        <v>0.84</v>
      </c>
      <c r="D3" s="21" t="n">
        <v>0.83</v>
      </c>
      <c r="E3" s="21" t="n">
        <v>1.31</v>
      </c>
      <c r="F3" s="21" t="n">
        <v>0.7</v>
      </c>
      <c r="G3" s="21" t="n"/>
    </row>
    <row r="4" ht="15.75" customHeight="1">
      <c r="A4" s="33" t="inlineStr">
        <is>
          <t>Marzo</t>
        </is>
      </c>
      <c r="B4" s="21" t="n">
        <v>1.62</v>
      </c>
      <c r="C4" s="21" t="n">
        <v>0.71</v>
      </c>
      <c r="D4" s="21" t="n">
        <v>0.16</v>
      </c>
      <c r="E4" s="21" t="n">
        <v>0.5600000000000001</v>
      </c>
      <c r="F4" s="21" t="n">
        <v>0.88</v>
      </c>
      <c r="G4" s="21" t="n"/>
    </row>
    <row r="5" ht="15.75" customHeight="1">
      <c r="A5" s="33" t="inlineStr">
        <is>
          <t>Aprile</t>
        </is>
      </c>
      <c r="B5" s="21" t="n">
        <v>1.06</v>
      </c>
      <c r="C5" s="21" t="n">
        <v>0.61</v>
      </c>
      <c r="D5" s="21" t="n">
        <v>0.38</v>
      </c>
      <c r="E5" s="21" t="n">
        <v>0.43</v>
      </c>
      <c r="F5" s="21" t="n">
        <v>0.67</v>
      </c>
      <c r="G5" s="21" t="n"/>
    </row>
    <row r="6" ht="16.5" customHeight="1">
      <c r="A6" s="33" t="inlineStr">
        <is>
          <t>Maggio</t>
        </is>
      </c>
      <c r="B6" s="21" t="n">
        <v>0.47</v>
      </c>
      <c r="C6" s="21" t="n">
        <v>0.23</v>
      </c>
      <c r="D6" s="21" t="n">
        <v>0.46</v>
      </c>
      <c r="E6" s="21" t="n">
        <v>0.26</v>
      </c>
      <c r="F6" s="21" t="n">
        <v>0.58</v>
      </c>
      <c r="G6" s="21" t="n"/>
      <c r="J6" s="34" t="n"/>
    </row>
    <row r="7" ht="16.5" customHeight="1">
      <c r="A7" s="33" t="inlineStr">
        <is>
          <t>Giugno</t>
        </is>
      </c>
      <c r="B7" s="21" t="n">
        <v>0.67</v>
      </c>
      <c r="C7" s="21" t="n">
        <v>-0.08</v>
      </c>
      <c r="D7" s="21" t="n">
        <v>0.21</v>
      </c>
      <c r="E7" s="21" t="n">
        <v>0.24</v>
      </c>
      <c r="F7" s="21" t="n">
        <v>0.16</v>
      </c>
      <c r="G7" s="21" t="n"/>
      <c r="J7" s="34" t="n"/>
    </row>
    <row r="8" ht="16.5" customHeight="1">
      <c r="A8" s="33" t="inlineStr">
        <is>
          <t>Luglio</t>
        </is>
      </c>
      <c r="B8" s="21" t="n">
        <v>-0.68</v>
      </c>
      <c r="C8" s="21" t="n">
        <v>0.12</v>
      </c>
      <c r="D8" s="21" t="n">
        <v>0.38</v>
      </c>
      <c r="E8" s="21" t="n">
        <v>0.26</v>
      </c>
      <c r="F8" s="21" t="n">
        <v>0.07000000000000001</v>
      </c>
      <c r="G8" s="21" t="n"/>
      <c r="J8" s="34" t="n"/>
    </row>
    <row r="9" ht="15.75" customHeight="1">
      <c r="A9" s="33" t="inlineStr">
        <is>
          <t>Agosto</t>
        </is>
      </c>
      <c r="B9" s="21" t="n">
        <v>-0.36</v>
      </c>
      <c r="C9" s="21" t="n">
        <v>0.23</v>
      </c>
      <c r="D9" s="21" t="n">
        <v>-0.02</v>
      </c>
      <c r="E9" s="21" t="n">
        <v>-0.11</v>
      </c>
      <c r="F9" s="21" t="n">
        <v>-0.32</v>
      </c>
      <c r="G9" s="21" t="n"/>
    </row>
    <row r="10" ht="15.75" customHeight="1">
      <c r="A10" s="33" t="inlineStr">
        <is>
          <t>Settembre</t>
        </is>
      </c>
      <c r="B10" s="21" t="n">
        <v>-0.29</v>
      </c>
      <c r="C10" s="21" t="n">
        <v>0.26</v>
      </c>
      <c r="D10" s="21" t="n">
        <v>0.44</v>
      </c>
      <c r="E10" s="21" t="n">
        <v>0.48</v>
      </c>
      <c r="F10" s="21" t="n"/>
      <c r="G10" s="21" t="n"/>
    </row>
    <row r="11" ht="15.75" customHeight="1">
      <c r="A11" s="33" t="inlineStr">
        <is>
          <t>Ottobre</t>
        </is>
      </c>
      <c r="B11" s="21" t="n">
        <v>0.59</v>
      </c>
      <c r="C11" s="21" t="n">
        <v>0.24</v>
      </c>
      <c r="D11" s="21" t="n">
        <v>0.5600000000000001</v>
      </c>
      <c r="E11" s="21" t="n">
        <v>0.09</v>
      </c>
      <c r="F11" s="21" t="n"/>
      <c r="G11" s="21" t="n"/>
    </row>
    <row r="12" ht="15.75" customHeight="1">
      <c r="A12" s="33" t="inlineStr">
        <is>
          <t>Novembre</t>
        </is>
      </c>
      <c r="B12" s="21" t="n">
        <v>0.41</v>
      </c>
      <c r="C12" s="21" t="n">
        <v>0.28</v>
      </c>
      <c r="D12" s="21" t="n">
        <v>0.39</v>
      </c>
      <c r="E12" s="21" t="n">
        <v>0.18</v>
      </c>
      <c r="F12" s="21" t="n"/>
      <c r="G12" s="21" t="n"/>
    </row>
    <row r="13" ht="15.75" customHeight="1">
      <c r="A13" s="33" t="inlineStr">
        <is>
          <t>Dicembre</t>
        </is>
      </c>
      <c r="B13" s="21" t="n">
        <v>0.62</v>
      </c>
      <c r="C13" s="21" t="n">
        <v>0.5600000000000001</v>
      </c>
      <c r="D13" s="21" t="n">
        <v>0.52</v>
      </c>
      <c r="E13" s="21" t="n">
        <v>0.33</v>
      </c>
      <c r="F13" s="21" t="n"/>
      <c r="G13" s="21" t="n"/>
    </row>
    <row r="15" ht="15.75" customHeight="1">
      <c r="A15" s="33" t="inlineStr">
        <is>
          <t>Media annua</t>
        </is>
      </c>
      <c r="B15" s="35">
        <f>AVERAGE(B2:B13)</f>
        <v/>
      </c>
      <c r="C15" s="35">
        <f>AVERAGE(C2:C13)</f>
        <v/>
      </c>
      <c r="D15" s="35">
        <f>AVERAGE(D2:D13)</f>
        <v/>
      </c>
      <c r="E15" s="35">
        <f>AVERAGE(E2:E13)</f>
        <v/>
      </c>
      <c r="F15" s="35">
        <f>AVERAGE(F2:F13)</f>
        <v/>
      </c>
      <c r="G15" s="35" t="n"/>
    </row>
    <row r="17" ht="82.5" customHeight="1">
      <c r="J17" s="34" t="inlineStr">
        <is>
          <t>Ho estratto i dati storici mensili sull'inflazione in Brasile (Indice IPCA) interrogando direttamente le API ufficiali della Banca Centrale del Brasile (Banco Central do Brasil). L'Indice IPCA è la misura ufficiale utilizzata per monitorare l'inflazione nel Paese. Ho organizzato i dati in una comoda tabella suddivisa per mesi e per gli anni più recenti (dal 2022 fino agli ultimi dati disponibili del 2026). Puoi visualizzare e consultare la tabella nel file qui sotto:</t>
        </is>
      </c>
    </row>
    <row r="18" ht="33" customHeight="1">
      <c r="J18" s="34" t="inlineStr">
        <is>
          <t>Ho estratto i prezzi mensili della Cosern (da Agosto 2024 a Luglio 2026) e li ho combinati con i dati ufficiali dell'inflazione IPCA degli stessi mesi.</t>
        </is>
      </c>
    </row>
    <row r="19" ht="49.5" customHeight="1">
      <c r="J19" s="34" t="inlineStr">
        <is>
          <t>Per dimostrare in modo visivo che le tariffe seguono l'inflazione, ho calcolato un Indice a base 100 (impostando Agosto 2024 come valore di partenza = 100 sia per il prezzo che per l'inflazione). In questo modo, l'incremento percentuale è direttamente confrontabile.</t>
        </is>
      </c>
    </row>
    <row r="20" ht="49.5" customHeight="1">
      <c r="J20" s="36" t="inlineStr">
        <is>
          <t>1. Un Grafico Interattivo: Ho creato una pagina web con un grafico a linee che confronta i due andamenti e le ho dato il comando per aprirsi direttamente sul tuo browser. Dovresti già vederlo a schermo!</t>
        </is>
      </c>
    </row>
    <row r="21" ht="33" customHeight="1">
      <c r="J21" s="36" t="inlineStr">
        <is>
          <t>2. Una Tabella: Ho creato un documento con tutti i valori esatti (Tariffa in Reais, Indice Tariffa, Inflazione Mese, Indice Inflazione) in modo che tu possa leggere facilmente i numeri:</t>
        </is>
      </c>
    </row>
    <row r="22" ht="16.5" customHeight="1">
      <c r="J22" s="34" t="inlineStr">
        <is>
          <t>comparazione_cosern.md</t>
        </is>
      </c>
    </row>
    <row r="23" ht="49.5" customHeight="1">
      <c r="J23" s="34" t="inlineStr">
        <is>
          <t>Come puoi notare sia dal grafico che dalla tabella, la tua ipotesi è corretta: c'è un riallineamento costante della tariffa all'inflazione. A Luglio 2026, l'incremento accumulato di entrambe le metriche rispetto ad Agosto 2024 risulta quasi identico (circa +9.4% per la tariffa e +9.9% per l'inflazione).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H19" sqref="H19"/>
    </sheetView>
  </sheetViews>
  <sheetFormatPr baseColWidth="8" defaultRowHeight="15"/>
  <cols>
    <col width="14.7109375" customWidth="1" min="1" max="1"/>
  </cols>
  <sheetData>
    <row r="1" ht="15.75" customHeight="1">
      <c r="A1" s="32" t="inlineStr">
        <is>
          <t>Mese</t>
        </is>
      </c>
      <c r="B1" s="32" t="n">
        <v>2022</v>
      </c>
      <c r="C1" s="32" t="n">
        <v>2023</v>
      </c>
      <c r="D1" s="32" t="n">
        <v>2024</v>
      </c>
      <c r="E1" s="32" t="n">
        <v>2025</v>
      </c>
      <c r="F1" s="32" t="n">
        <v>2026</v>
      </c>
    </row>
    <row r="2" ht="15.75" customHeight="1">
      <c r="A2" s="33" t="inlineStr">
        <is>
          <t>Gennaio</t>
        </is>
      </c>
      <c r="B2" s="21" t="n">
        <v>10.38</v>
      </c>
      <c r="C2" s="21" t="n">
        <v>5.77</v>
      </c>
      <c r="D2" s="21" t="n">
        <v>4.51</v>
      </c>
      <c r="E2" s="21" t="n">
        <v>4.56</v>
      </c>
      <c r="F2" s="21" t="n">
        <v>4.44</v>
      </c>
    </row>
    <row r="3" ht="15.75" customHeight="1">
      <c r="A3" s="33" t="inlineStr">
        <is>
          <t>Febbraio</t>
        </is>
      </c>
      <c r="B3" s="21" t="n">
        <v>10.54</v>
      </c>
      <c r="C3" s="21" t="n">
        <v>5.6</v>
      </c>
      <c r="D3" s="21" t="n">
        <v>4.5</v>
      </c>
      <c r="E3" s="21" t="n">
        <v>5.06</v>
      </c>
      <c r="F3" s="21" t="n">
        <v>3.81</v>
      </c>
    </row>
    <row r="4" ht="15.75" customHeight="1">
      <c r="A4" s="33" t="inlineStr">
        <is>
          <t>Marzo</t>
        </is>
      </c>
      <c r="B4" s="21" t="n">
        <v>11.3</v>
      </c>
      <c r="C4" s="21" t="n">
        <v>4.65</v>
      </c>
      <c r="D4" s="21" t="n">
        <v>3.93</v>
      </c>
      <c r="E4" s="21" t="n">
        <v>5.48</v>
      </c>
      <c r="F4" s="21" t="n">
        <v>4.14</v>
      </c>
    </row>
    <row r="5" ht="15.75" customHeight="1">
      <c r="A5" s="33" t="inlineStr">
        <is>
          <t>Aprile</t>
        </is>
      </c>
      <c r="B5" s="21" t="n">
        <v>12.13</v>
      </c>
      <c r="C5" s="21" t="n">
        <v>4.18</v>
      </c>
      <c r="D5" s="21" t="n">
        <v>3.69</v>
      </c>
      <c r="E5" s="21" t="n">
        <v>5.53</v>
      </c>
      <c r="F5" s="21" t="n">
        <v>4.39</v>
      </c>
    </row>
    <row r="6" ht="15.75" customHeight="1">
      <c r="A6" s="33" t="inlineStr">
        <is>
          <t>Maggio</t>
        </is>
      </c>
      <c r="B6" s="21" t="n">
        <v>11.73</v>
      </c>
      <c r="C6" s="21" t="n">
        <v>3.94</v>
      </c>
      <c r="D6" s="21" t="n">
        <v>3.93</v>
      </c>
      <c r="E6" s="21" t="n">
        <v>5.32</v>
      </c>
      <c r="F6" s="21" t="n">
        <v>4.72</v>
      </c>
    </row>
    <row r="7" ht="15.75" customHeight="1">
      <c r="A7" s="33" t="inlineStr">
        <is>
          <t>Giugno</t>
        </is>
      </c>
      <c r="B7" s="21" t="n">
        <v>11.89</v>
      </c>
      <c r="C7" s="21" t="n">
        <v>3.16</v>
      </c>
      <c r="D7" s="21" t="n">
        <v>4.23</v>
      </c>
      <c r="E7" s="21" t="n">
        <v>5.35</v>
      </c>
      <c r="F7" s="21" t="n">
        <v>4.64</v>
      </c>
    </row>
    <row r="8" ht="15.75" customHeight="1">
      <c r="A8" s="33" t="inlineStr">
        <is>
          <t>Luglio</t>
        </is>
      </c>
      <c r="B8" s="21" t="n">
        <v>10.07</v>
      </c>
      <c r="C8" s="21" t="n">
        <v>3.99</v>
      </c>
      <c r="D8" s="21" t="n">
        <v>4.5</v>
      </c>
      <c r="E8" s="21" t="n">
        <v>5.23</v>
      </c>
      <c r="F8" s="21" t="n">
        <v>4.44</v>
      </c>
    </row>
    <row r="9" ht="15.75" customHeight="1">
      <c r="A9" s="33" t="inlineStr">
        <is>
          <t>Agosto</t>
        </is>
      </c>
      <c r="B9" s="21" t="n">
        <v>8.73</v>
      </c>
      <c r="C9" s="21" t="n">
        <v>4.61</v>
      </c>
      <c r="D9" s="21" t="n">
        <v>4.24</v>
      </c>
      <c r="E9" s="21" t="n">
        <v>5.13</v>
      </c>
      <c r="F9" s="21" t="n"/>
    </row>
    <row r="10" ht="15.75" customHeight="1">
      <c r="A10" s="33" t="inlineStr">
        <is>
          <t>Settembre</t>
        </is>
      </c>
      <c r="B10" s="21" t="n">
        <v>7.17</v>
      </c>
      <c r="C10" s="21" t="n">
        <v>5.19</v>
      </c>
      <c r="D10" s="21" t="n">
        <v>4.42</v>
      </c>
      <c r="E10" s="21" t="n">
        <v>5.17</v>
      </c>
      <c r="F10" s="21" t="n"/>
    </row>
    <row r="11" ht="15.75" customHeight="1">
      <c r="A11" s="33" t="inlineStr">
        <is>
          <t>Ottobre</t>
        </is>
      </c>
      <c r="B11" s="21" t="n">
        <v>6.47</v>
      </c>
      <c r="C11" s="21" t="n">
        <v>4.82</v>
      </c>
      <c r="D11" s="21" t="n">
        <v>4.76</v>
      </c>
      <c r="E11" s="21" t="n">
        <v>4.68</v>
      </c>
      <c r="F11" s="21" t="n"/>
    </row>
    <row r="12" ht="15.75" customHeight="1">
      <c r="A12" s="33" t="inlineStr">
        <is>
          <t>Novembre</t>
        </is>
      </c>
      <c r="B12" s="21" t="n">
        <v>5.9</v>
      </c>
      <c r="C12" s="21" t="n">
        <v>4.68</v>
      </c>
      <c r="D12" s="21" t="n">
        <v>4.87</v>
      </c>
      <c r="E12" s="21" t="n">
        <v>4.46</v>
      </c>
      <c r="F12" s="21" t="n"/>
    </row>
    <row r="13" ht="15.75" customHeight="1">
      <c r="A13" s="33" t="inlineStr">
        <is>
          <t>Dicembre</t>
        </is>
      </c>
      <c r="B13" s="21" t="n">
        <v>5.79</v>
      </c>
      <c r="C13" s="21" t="n">
        <v>4.62</v>
      </c>
      <c r="D13" s="21" t="n">
        <v>4.83</v>
      </c>
      <c r="E13" s="21" t="n">
        <v>4.26</v>
      </c>
      <c r="F13" s="21" t="n"/>
    </row>
    <row r="15" ht="15.75" customHeight="1">
      <c r="A15" s="33" t="inlineStr">
        <is>
          <t>Media annua</t>
        </is>
      </c>
      <c r="B15" s="35">
        <f>AVERAGE(B2:B13)</f>
        <v/>
      </c>
      <c r="C15" s="35">
        <f>AVERAGE(C2:C13)</f>
        <v/>
      </c>
      <c r="D15" s="35">
        <f>AVERAGE(D2:D13)</f>
        <v/>
      </c>
      <c r="E15" s="35">
        <f>AVERAGE(E2:E13)</f>
        <v/>
      </c>
      <c r="F15" s="35">
        <f>AVERAGE(F2:F13)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Edoardo Tubia</dc:creator>
  <dcterms:created xmlns:dcterms="http://purl.org/dc/terms/" xmlns:xsi="http://www.w3.org/2001/XMLSchema-instance" xsi:type="dcterms:W3CDTF">2026-08-31T17:11:06Z</dcterms:created>
  <dcterms:modified xmlns:dcterms="http://purl.org/dc/terms/" xmlns:xsi="http://www.w3.org/2001/XMLSchema-instance" xsi:type="dcterms:W3CDTF">2026-09-30T16:00:18Z</dcterms:modified>
  <cp:lastModifiedBy>Edoardo Tubia</cp:lastModifiedBy>
</cp:coreProperties>
</file>