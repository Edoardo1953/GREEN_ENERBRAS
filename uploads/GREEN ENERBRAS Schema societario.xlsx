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G:\GREEN ENERBRAS ONE SCSp\BRASILE\TRI STAR ENERGY LTDA (GP)\"/>
    </mc:Choice>
  </mc:AlternateContent>
  <xr:revisionPtr revIDLastSave="0" documentId="13_ncr:1_{7EFD1AC9-2E70-497D-A5EB-F8FB15CEBE7F}" xr6:coauthVersionLast="47" xr6:coauthVersionMax="47" xr10:uidLastSave="{00000000-0000-0000-0000-000000000000}"/>
  <bookViews>
    <workbookView xWindow="-120" yWindow="-120" windowWidth="29040" windowHeight="15840" xr2:uid="{00000000-000D-0000-FFFF-FFFF00000000}"/>
  </bookViews>
  <sheets>
    <sheet name="Schema GREEN ENERBRAS" sheetId="1" r:id="rId1"/>
    <sheet name="Green Enerbras One SCSp" sheetId="2" r:id="rId2"/>
    <sheet name="New Life GP" sheetId="7" r:id="rId3"/>
    <sheet name="Tri Star Enerbras SCP" sheetId="4" r:id="rId4"/>
    <sheet name="Tri Star Energy GP" sheetId="3" r:id="rId5"/>
    <sheet name="BD Solar" sheetId="8" r:id="rId6"/>
    <sheet name="SGGS" sheetId="9" r:id="rId7"/>
  </sheets>
  <definedNames>
    <definedName name="_Hlk188010558" localSheetId="2">'New Life GP'!$D$22</definedName>
    <definedName name="Anniversaire">#REF!,#REF!,#REF!,#REF!</definedName>
    <definedName name="_xlnm.Print_Area" localSheetId="1">'Green Enerbras One SCSp'!$B$2:$G$55</definedName>
    <definedName name="_xlnm.Print_Area" localSheetId="2">'New Life GP'!$B$2:$I$30</definedName>
    <definedName name="_xlnm.Print_Area" localSheetId="0">'Schema GREEN ENERBRAS'!$B$1:$U$35</definedName>
    <definedName name="_xlnm.Print_Area" localSheetId="3">'Tri Star Enerbras SCP'!$B$2:$H$42</definedName>
    <definedName name="_xlnm.Print_Area" localSheetId="4">'Tri Star Energy GP'!$B$2:$I$33</definedName>
    <definedName name="CAP1E">#REF!</definedName>
    <definedName name="CapitFIXE">#REF!</definedName>
    <definedName name="Changement_de_taux">#REF!</definedName>
    <definedName name="Cout_Total">#REF!</definedName>
    <definedName name="DATDB">#REF!</definedName>
    <definedName name="DebAmort">#REF!</definedName>
    <definedName name="Différé">#REF!</definedName>
    <definedName name="DiffSimple">#REF!</definedName>
    <definedName name="DiffTotal">#REF!</definedName>
    <definedName name="EchFIXE">#REF!</definedName>
    <definedName name="FraisF">#REF!</definedName>
    <definedName name="FraisV">#REF!</definedName>
    <definedName name="Ijour">#REF!</definedName>
    <definedName name="Imois">#REF!</definedName>
    <definedName name="INT1E">#REF!</definedName>
    <definedName name="Jour1">#REF!</definedName>
    <definedName name="Jour2">#REF!</definedName>
    <definedName name="MoisD">#REF!</definedName>
    <definedName name="MtEch">#REF!</definedName>
    <definedName name="MtEmprunt">#REF!</definedName>
    <definedName name="NbDeci">#REF!</definedName>
    <definedName name="NbEch">#REF!</definedName>
    <definedName name="NbEchAn">#REF!</definedName>
    <definedName name="NoEchMaxi">#REF!</definedName>
    <definedName name="NoEchRemb">#REF!</definedName>
    <definedName name="Nombre_échéances">#REF!</definedName>
    <definedName name="Periodicite">#REF!</definedName>
    <definedName name="RVDebit">#REF!</definedName>
    <definedName name="TauxActuariel">#REF!</definedName>
    <definedName name="Total_Capital">#REF!</definedName>
    <definedName name="Total_Frais">#REF!</definedName>
    <definedName name="Total_Intérêts">#REF!</definedName>
    <definedName name="TVDebit">#REF!</definedName>
    <definedName name="TxP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5" i="4" l="1"/>
  <c r="G41" i="4" l="1"/>
  <c r="F35" i="4" s="1"/>
  <c r="H32" i="3"/>
  <c r="F32" i="3"/>
  <c r="G29" i="3"/>
  <c r="G25" i="3"/>
  <c r="G32" i="3" s="1"/>
  <c r="D23" i="3"/>
  <c r="F36" i="2"/>
  <c r="O9" i="1"/>
  <c r="O21" i="1"/>
  <c r="O23" i="1" s="1"/>
  <c r="P8" i="1" s="1"/>
  <c r="P9" i="1" s="1"/>
  <c r="E32" i="2" l="1"/>
  <c r="D18" i="2"/>
  <c r="F27" i="4"/>
  <c r="F41" i="4" s="1"/>
  <c r="E31" i="2"/>
  <c r="E33" i="2"/>
  <c r="E26" i="2"/>
  <c r="E27" i="2"/>
  <c r="E28" i="2"/>
  <c r="E25" i="2"/>
  <c r="E29" i="2"/>
  <c r="E34" i="2"/>
  <c r="E30" i="2"/>
  <c r="E20" i="2"/>
  <c r="P17" i="1"/>
  <c r="P13" i="1"/>
  <c r="P11" i="1"/>
  <c r="P16" i="1"/>
  <c r="P15" i="1"/>
  <c r="P12" i="1"/>
  <c r="P20" i="1"/>
  <c r="P18" i="1"/>
  <c r="P14" i="1"/>
  <c r="P19" i="1"/>
  <c r="P21" i="1" l="1"/>
  <c r="P23" i="1" s="1"/>
  <c r="E36" i="2"/>
</calcChain>
</file>

<file path=xl/sharedStrings.xml><?xml version="1.0" encoding="utf-8"?>
<sst xmlns="http://schemas.openxmlformats.org/spreadsheetml/2006/main" count="291" uniqueCount="182">
  <si>
    <t>Socio OSTENSIVO</t>
  </si>
  <si>
    <t>GESTORE</t>
  </si>
  <si>
    <t xml:space="preserve">                                                                                                                                                                                                                                                                                                                                               </t>
  </si>
  <si>
    <t>CNPJ: 08.353.637/0001-73</t>
  </si>
  <si>
    <t>Socio PARTECIPANTE</t>
  </si>
  <si>
    <t>GENERAL PARTNER</t>
  </si>
  <si>
    <t>Salvatore DESIDERIO</t>
  </si>
  <si>
    <t>Edoardo TUBIA</t>
  </si>
  <si>
    <t>Silvia TUBIA</t>
  </si>
  <si>
    <t>Enrico TUBIA</t>
  </si>
  <si>
    <t>Marco STERZI</t>
  </si>
  <si>
    <t>LIMITED PARTNERS</t>
  </si>
  <si>
    <t>NEW LIFE Sàrl</t>
  </si>
  <si>
    <t>GENERAL CONTRACTOR</t>
  </si>
  <si>
    <t>CNPJ: 61.284.818/0001-78</t>
  </si>
  <si>
    <t>CNPJ: 59.950.505/0001-60</t>
  </si>
  <si>
    <t>CNPJ: 60.982.247/0001-82</t>
  </si>
  <si>
    <t>CNPJ: 41.680.512/0001-23</t>
  </si>
  <si>
    <t>Greta ZANIBONI</t>
  </si>
  <si>
    <t>Elisa ZANIBONI</t>
  </si>
  <si>
    <t>Stefano BERTOZZI</t>
  </si>
  <si>
    <t>Maria DE MIGUEL BELLVIS</t>
  </si>
  <si>
    <t>5.250 R$</t>
  </si>
  <si>
    <t>2.400.000 R$</t>
  </si>
  <si>
    <t>0,218273%</t>
  </si>
  <si>
    <t>USINA 01</t>
  </si>
  <si>
    <t>Luxembourg</t>
  </si>
  <si>
    <t>GREEN ENERBRAS ONE SCSp</t>
  </si>
  <si>
    <t>Company name</t>
  </si>
  <si>
    <t>Date of incorporation</t>
  </si>
  <si>
    <t>RCS Registration Date</t>
  </si>
  <si>
    <t>RCS NR</t>
  </si>
  <si>
    <t>B295061</t>
  </si>
  <si>
    <t>Main economic activity</t>
  </si>
  <si>
    <t>The company's purpose is to invest in ‘green energy’, in particular in electricity generated by small and medium-sized photovoltaic power stations (but never to operate such power stations directly). Collaboration with companies specialising in the construction, operation and maintenance of photovoltaic power plants (solar panels), both on the ground and on roofs. The company may also consider taking control of small and medium-sized power plants, and buying and selling stakes in companies that may be useful in achieving its corporate purpose. The same applies to the real estate sector, where it may sometimes be necessary to acquire or lease real estate units (land, buildings or other) or to collaborate with companies involved in these activities. In general, the Company may carry out any commercial or financial transaction or operation, whether in property or securities, which is directly or indirectly related to its corporate purpose or which is likely to facilitate the extension or development thereof.</t>
  </si>
  <si>
    <t>Address</t>
  </si>
  <si>
    <t>6, rue des Lilas</t>
  </si>
  <si>
    <t>8035 - Strassen</t>
  </si>
  <si>
    <t>Mail</t>
  </si>
  <si>
    <t>greenenerbrasone@gmail.com</t>
  </si>
  <si>
    <t>PARTNERS CONTRIBUTION</t>
  </si>
  <si>
    <t>General Partner</t>
  </si>
  <si>
    <t>Associé Commandité</t>
  </si>
  <si>
    <t>Grand Duché du Luxembourg</t>
  </si>
  <si>
    <t>Limited Partner</t>
  </si>
  <si>
    <t>Associés Commanditaires</t>
  </si>
  <si>
    <t>FISCAL DOSSIER</t>
  </si>
  <si>
    <t>Company Name</t>
  </si>
  <si>
    <t>Tax File Number</t>
  </si>
  <si>
    <t>2025 5805 747</t>
  </si>
  <si>
    <t>Bureau d'imposition</t>
  </si>
  <si>
    <t>SOCIETES 6</t>
  </si>
  <si>
    <t>562, rue de Neudorf (IKAROS) - L - 2220 Luxembourg</t>
  </si>
  <si>
    <t>L - 2982 Luxembourg</t>
  </si>
  <si>
    <t>SOC6@CO.ETAT.LU</t>
  </si>
  <si>
    <t>Bureau de recette</t>
  </si>
  <si>
    <t>18, rue du Fort Wedell - L - 2718 Luxembourg</t>
  </si>
  <si>
    <t>RECLUX@CO.ETAT.LU</t>
  </si>
  <si>
    <t>R.B.E.</t>
  </si>
  <si>
    <t>File Number</t>
  </si>
  <si>
    <t>Beneficial Owners</t>
  </si>
  <si>
    <t>L - 8035 Strassen</t>
  </si>
  <si>
    <t>BANK ACCOUNT</t>
  </si>
  <si>
    <t>BANK</t>
  </si>
  <si>
    <t>BANQUE DE LUXEMBOURG</t>
  </si>
  <si>
    <t>SWIFT</t>
  </si>
  <si>
    <t>BLUX LULL</t>
  </si>
  <si>
    <t>Iban</t>
  </si>
  <si>
    <t>LU47 0080 4433 4290 2001</t>
  </si>
  <si>
    <t>BRASIL</t>
  </si>
  <si>
    <t>TRI STAR ENERGY LTDA</t>
  </si>
  <si>
    <t>G.P. (General Partner)</t>
  </si>
  <si>
    <t>NOME EMPRESARIAL</t>
  </si>
  <si>
    <t>TRI STAR ENERGY LTDA Limitada)</t>
  </si>
  <si>
    <t>Data de abertura</t>
  </si>
  <si>
    <t>Atividade economica principal</t>
  </si>
  <si>
    <t>64.62-0-00 - Holdings de instituições não-financeiras</t>
  </si>
  <si>
    <t>Codigo natureza juridica</t>
  </si>
  <si>
    <t>206-2 - Sociedade Empresária Limitada</t>
  </si>
  <si>
    <t>EMPRESA DE PEQUENO PORTE</t>
  </si>
  <si>
    <t>(nos termos da Lei Complementar nr 123 de 14.12.2006)</t>
  </si>
  <si>
    <t>Lograduro</t>
  </si>
  <si>
    <t>Avenida Engenheiro Roberto Freire</t>
  </si>
  <si>
    <t>1962, Loja 13 Cond. Seaway Shopping</t>
  </si>
  <si>
    <t>CEP 59.082-095</t>
  </si>
  <si>
    <t>Capim Macio - Natal (RN)</t>
  </si>
  <si>
    <t>inscrita junto a Prefeitura de</t>
  </si>
  <si>
    <t>Natal/RN sob o n.º Inscrição Imobiliária: 2.035.0180.01.0103.0013.9 Sequencial: 90988990</t>
  </si>
  <si>
    <t>franco.toscano1111@gmail.com</t>
  </si>
  <si>
    <t>CNPJ</t>
  </si>
  <si>
    <t>59.950.505/0001-60</t>
  </si>
  <si>
    <t>0055 (84) 3221-4606</t>
  </si>
  <si>
    <t>CAPITAL SOCIAL</t>
  </si>
  <si>
    <t>SOCIOS</t>
  </si>
  <si>
    <t>FRANCO TOSCANO</t>
  </si>
  <si>
    <t>Quotas</t>
  </si>
  <si>
    <t>Qualificaçao</t>
  </si>
  <si>
    <t>49-Sócio-Administrador</t>
  </si>
  <si>
    <t>Diretor Executivo (CEO)</t>
  </si>
  <si>
    <t>RICARDO PIMENTEL PORTELA DE MORAES</t>
  </si>
  <si>
    <t>22-Sócio</t>
  </si>
  <si>
    <t>TRI STAR ENERBRAS ONE SCP</t>
  </si>
  <si>
    <t>TRI STAR ENERBRAS ONE SCP (Sociedade em Conta de Participaçao)</t>
  </si>
  <si>
    <t>35.11-5-01 - Geraçao de energia elétrica</t>
  </si>
  <si>
    <t>Atividade economica secundaria</t>
  </si>
  <si>
    <t>43.21-5-00 - Instalaçao e manutençao elétrica</t>
  </si>
  <si>
    <t>212-7 - Sociedade em Conta de Participaçao</t>
  </si>
  <si>
    <t>CONTA BANCO</t>
  </si>
  <si>
    <t>348 - BANCO XP SA</t>
  </si>
  <si>
    <t>Agencia 0001</t>
  </si>
  <si>
    <t>Conta Digital - 18638574  (Conta corente)</t>
  </si>
  <si>
    <t>61.284.818/0001-78</t>
  </si>
  <si>
    <t>MATRIZ</t>
  </si>
  <si>
    <t>ATIVO</t>
  </si>
  <si>
    <t>%</t>
  </si>
  <si>
    <t>Valor aporte</t>
  </si>
  <si>
    <t>31 - Socio Ostensivo</t>
  </si>
  <si>
    <t>CNPJ/MF: 59.950.505/0001-60</t>
  </si>
  <si>
    <t>05 - Administrador</t>
  </si>
  <si>
    <t>CPF: 014.486.024-40</t>
  </si>
  <si>
    <t>Socio Participante</t>
  </si>
  <si>
    <t>CNPJ/MF: 60.982.247/0001-82</t>
  </si>
  <si>
    <t>EDOARDO TUBIA</t>
  </si>
  <si>
    <t>Gerente Administrador</t>
  </si>
  <si>
    <t>CPF: 014.307.604-35</t>
  </si>
  <si>
    <t>TRI STAR ENBERGY rimarrà sempre con 5,250 R$ di capitale sottoscritto (quindi a termine con una percentuale di meno dell'uno per cento)</t>
  </si>
  <si>
    <t>Mentre la Lussemburghese mano a mano che invierà il capitale si troverà con una percentuale fino al 99% del capitale.</t>
  </si>
  <si>
    <t>La distribuzione degli utili invece sarà, come da accordi sottoscritti, disallineata con il 17,50% per Tri Star</t>
  </si>
  <si>
    <t>e l'82,5% per la lussemburghese.</t>
  </si>
  <si>
    <r>
      <t>B&amp;D SOLUCOES ENERGETICAS LTDA</t>
    </r>
    <r>
      <rPr>
        <sz val="12"/>
        <color rgb="FF222222"/>
        <rFont val="Arial"/>
        <family val="2"/>
      </rPr>
      <t>,</t>
    </r>
  </si>
  <si>
    <t>Rua Raimundo Chaves, 2182, Sala 501, Empresarial Candelária, Candelária, Natal-RN, CEP: 59064-390,</t>
  </si>
  <si>
    <r>
      <t>CNPJ:</t>
    </r>
    <r>
      <rPr>
        <sz val="12"/>
        <color rgb="FF222222"/>
        <rFont val="Arial"/>
        <family val="2"/>
      </rPr>
      <t> 41.680.512/0001-23. </t>
    </r>
  </si>
  <si>
    <r>
      <t>representada por seu diretor comercial, Sr. </t>
    </r>
    <r>
      <rPr>
        <b/>
        <sz val="12"/>
        <color rgb="FF222222"/>
        <rFont val="Arial"/>
        <family val="2"/>
      </rPr>
      <t>Davidson Carlos Dantas de Sousa</t>
    </r>
    <r>
      <rPr>
        <sz val="12"/>
        <color rgb="FF222222"/>
        <rFont val="Arial"/>
        <family val="2"/>
      </rPr>
      <t>, Brasileiro, casado, Empresário, inscrito no CPF sob nº 031.917.844-70 e RG de nº 1.613.087 SSP-RN,</t>
    </r>
  </si>
  <si>
    <t>B&amp;D Soluções Energéticas Ltda é uma empresa com nome fantasia B&amp;D Solar, especializada em energia solar fotovoltaica. A empresa projeta, comercializa e instala sistemas de geração de energia solar, com atuação em todo o Rio Grande do Norte e Paraíba, com matriz em Natal. Eles oferecem soluções para residências e empresas, com foco em economia e sustentabilidade. </t>
  </si>
  <si>
    <t>Informações adicionais:</t>
  </si>
  <si>
    <r>
      <t>Localização:</t>
    </r>
    <r>
      <rPr>
        <sz val="12"/>
        <color rgb="FF222222"/>
        <rFont val="Arial"/>
        <family val="2"/>
      </rPr>
      <t> Natal, Rio Grande do Norte. </t>
    </r>
  </si>
  <si>
    <r>
      <t>Serviços:</t>
    </r>
    <r>
      <rPr>
        <sz val="12"/>
        <color rgb="FF222222"/>
        <rFont val="Arial"/>
        <family val="2"/>
      </rPr>
      <t> Instalação de sistemas fotovoltaicos, projetos de energia solar, contratos de manutenção e serviços por demanda em elétrica e hidráulica. </t>
    </r>
  </si>
  <si>
    <r>
      <t>Foco:</t>
    </r>
    <r>
      <rPr>
        <sz val="12"/>
        <color rgb="FF222222"/>
        <rFont val="Arial"/>
        <family val="2"/>
      </rPr>
      <t> Economia de energia, sustentabilidade e soluções personalizadas para clientes. </t>
    </r>
  </si>
  <si>
    <t>Contato: (84) 99151-4554, B&amp;D Solar. </t>
  </si>
  <si>
    <t>Sito internet; bedenergiasolar.com.br</t>
  </si>
  <si>
    <t>Giovanni MILETTI</t>
  </si>
  <si>
    <t>1953 12 11 017 25</t>
  </si>
  <si>
    <t>POST LUXEMBOURG</t>
  </si>
  <si>
    <t>LU43 1111 7809 1464 0000</t>
  </si>
  <si>
    <t>CCPL LULL</t>
  </si>
  <si>
    <t>B 17790</t>
  </si>
  <si>
    <t>SOCIAL CAPITAL</t>
  </si>
  <si>
    <t>1980 2403 189</t>
  </si>
  <si>
    <t>T.V.A. Number</t>
  </si>
  <si>
    <t>LU 11773678</t>
  </si>
  <si>
    <t>15.10.1980</t>
  </si>
  <si>
    <t>Code NACE</t>
  </si>
  <si>
    <t>SOCIETES 5</t>
  </si>
  <si>
    <t>SOC5@CO.ETAT.LU</t>
  </si>
  <si>
    <t>1979 07 08 027 38</t>
  </si>
  <si>
    <t>TUBIA Edoardo  (as Director of the Company)</t>
  </si>
  <si>
    <t>TUBIA Silvia  (As Director of the Company)</t>
  </si>
  <si>
    <t>2.405.250 R$</t>
  </si>
  <si>
    <t>31.000 EUR</t>
  </si>
  <si>
    <t>CAPITAL CONTRIBUTION</t>
  </si>
  <si>
    <t>B 295061</t>
  </si>
  <si>
    <t>T.V.A.</t>
  </si>
  <si>
    <t>NO TVA</t>
  </si>
  <si>
    <t>No company mail</t>
  </si>
  <si>
    <t>GENERAL CONTRACTOR for INSTALLATION</t>
  </si>
  <si>
    <t>GENERAL CONTRACTOR for MAINTENANCE</t>
  </si>
  <si>
    <t>SGGS - SOLUCOES GLOBAIS DE GERACAO SOLAR LTDA</t>
  </si>
  <si>
    <t>Avenida Engenheiro Roberto Freire, 1962, Loja 13 Cond. Seaway Shopping, Capim Macio - Natal (RN), CEP: 59.082-095</t>
  </si>
  <si>
    <r>
      <t>CNPJ:</t>
    </r>
    <r>
      <rPr>
        <sz val="12"/>
        <color rgb="FF222222"/>
        <rFont val="Arial"/>
        <family val="2"/>
      </rPr>
      <t> 63.724.813/0001-44</t>
    </r>
  </si>
  <si>
    <t>representada por seu diretor comercial, Sr. xxxxxxxxxxxxxxxx, Brasileiro, casado, Empresário, inscrito no CPF sob nº xxx.xxx.xxx-xx e RG de nº x.xxx.xxx SSP-RN,</t>
  </si>
  <si>
    <t>74.90-1-04 - Atividadestermediaçao e agenciamento de serviços e negovios em geral, exceto imobiliarios.</t>
  </si>
  <si>
    <t>43.21-5-00 - Instalaçao e manutençao elètrica</t>
  </si>
  <si>
    <t>206-2 - Spociedade Empresaria Limitada</t>
  </si>
  <si>
    <r>
      <t>Serviços:</t>
    </r>
    <r>
      <rPr>
        <sz val="12"/>
        <color rgb="FF222222"/>
        <rFont val="Arial"/>
        <family val="2"/>
      </rPr>
      <t> Instalação de sistemas fotovoltaicos, projetos de energia solar, contratos de manutenção e serviços por demanda em elétrica.</t>
    </r>
  </si>
  <si>
    <t>MAINTENANCE</t>
  </si>
  <si>
    <t>CNPJ: 63.724.813/0001-44</t>
  </si>
  <si>
    <t>B&amp;D SOLUCOES ENERGETICAS LTDA</t>
  </si>
  <si>
    <t>As sole Shareholder and Director of the Company</t>
  </si>
  <si>
    <t xml:space="preserve">TUBIA Edoardo </t>
  </si>
  <si>
    <t>DOSSIER FISCAL</t>
  </si>
  <si>
    <t>Statut Coordonné - NEW LIFE Sàrl B17790.pdf</t>
  </si>
  <si>
    <t>USINA 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</si>
</sst>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0.00\ &quot;€&quot;;[Red]\-#,##0.00\ &quot;€&quot;"/>
    <numFmt numFmtId="164" formatCode="#,##0_ ;[Red]\-#,##0\ "/>
    <numFmt numFmtId="165" formatCode="0.0000%"/>
    <numFmt numFmtId="166" formatCode="#,##0.00\ &quot;€&quot;"/>
    <numFmt numFmtId="167" formatCode="0.00000%"/>
    <numFmt numFmtId="168" formatCode="\R\$\ #,##0.00;[Red]\-\R\$\ #,##0.00"/>
    <numFmt numFmtId="169" formatCode="_-&quot;€&quot;\ * #,##0.00_-;\-&quot;€&quot;\ * #,##0.00_-;_-&quot;€&quot;\ * &quot;-&quot;??_-;_-@_-"/>
  </numFmts>
  <fonts count="17" x14ac:knownFonts="1">
    <font>
      <sz val="10"/>
      <name val="Arial"/>
    </font>
    <font>
      <b/>
      <sz val="10"/>
      <name val="Arial"/>
      <family val="2"/>
    </font>
    <font>
      <b/>
      <sz val="10"/>
      <color indexed="10"/>
      <name val="Arial"/>
      <family val="2"/>
    </font>
    <font>
      <sz val="10"/>
      <name val="Arial"/>
      <family val="2"/>
    </font>
    <font>
      <b/>
      <sz val="10"/>
      <color rgb="FFFF0000"/>
      <name val="Arial"/>
      <family val="2"/>
    </font>
    <font>
      <b/>
      <sz val="10"/>
      <color theme="1"/>
      <name val="Arial"/>
      <family val="2"/>
    </font>
    <font>
      <sz val="10"/>
      <color rgb="FFFF0000"/>
      <name val="Arial"/>
      <family val="2"/>
    </font>
    <font>
      <b/>
      <sz val="18"/>
      <name val="Arial"/>
      <family val="2"/>
    </font>
    <font>
      <sz val="12"/>
      <name val="Times New Roman"/>
      <family val="1"/>
    </font>
    <font>
      <u/>
      <sz val="10"/>
      <color theme="10"/>
      <name val="Arial"/>
      <family val="2"/>
    </font>
    <font>
      <b/>
      <sz val="20"/>
      <name val="Arial"/>
      <family val="2"/>
    </font>
    <font>
      <b/>
      <sz val="11"/>
      <name val="Arial"/>
      <family val="2"/>
    </font>
    <font>
      <b/>
      <sz val="12"/>
      <color rgb="FF222222"/>
      <name val="Arial"/>
      <family val="2"/>
    </font>
    <font>
      <sz val="12"/>
      <color rgb="FF222222"/>
      <name val="Arial"/>
      <family val="2"/>
    </font>
    <font>
      <u/>
      <sz val="10"/>
      <color theme="10"/>
      <name val="Arial"/>
    </font>
    <font>
      <b/>
      <sz val="12"/>
      <color theme="1"/>
      <name val="Calibri"/>
      <family val="2"/>
      <scheme val="minor"/>
    </font>
    <font>
      <b/>
      <u/>
      <sz val="10"/>
      <color theme="10"/>
      <name val="Arial"/>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0" fontId="3" fillId="0" borderId="0"/>
    <xf numFmtId="0" fontId="9" fillId="0" borderId="0" applyNumberFormat="0" applyFill="0" applyBorder="0" applyAlignment="0" applyProtection="0"/>
    <xf numFmtId="169" fontId="3" fillId="0" borderId="0" applyFont="0" applyFill="0" applyBorder="0" applyAlignment="0" applyProtection="0"/>
    <xf numFmtId="0" fontId="14" fillId="0" borderId="0" applyNumberFormat="0" applyFill="0" applyBorder="0" applyAlignment="0" applyProtection="0"/>
  </cellStyleXfs>
  <cellXfs count="102">
    <xf numFmtId="0" fontId="0" fillId="0" borderId="0" xfId="0"/>
    <xf numFmtId="0" fontId="0" fillId="2" borderId="0" xfId="0" applyFill="1"/>
    <xf numFmtId="0" fontId="3" fillId="2" borderId="0" xfId="0" applyFont="1" applyFill="1"/>
    <xf numFmtId="1" fontId="0" fillId="2" borderId="0" xfId="0" applyNumberFormat="1" applyFill="1"/>
    <xf numFmtId="0" fontId="4" fillId="2" borderId="0" xfId="0" applyFont="1" applyFill="1" applyAlignment="1">
      <alignment horizontal="left"/>
    </xf>
    <xf numFmtId="9" fontId="1" fillId="2" borderId="0" xfId="0" applyNumberFormat="1" applyFont="1" applyFill="1" applyAlignment="1">
      <alignment horizontal="right"/>
    </xf>
    <xf numFmtId="0" fontId="1" fillId="2" borderId="0" xfId="0" applyFont="1" applyFill="1" applyAlignment="1">
      <alignment horizontal="left"/>
    </xf>
    <xf numFmtId="0" fontId="1" fillId="2" borderId="0" xfId="0" applyFont="1" applyFill="1"/>
    <xf numFmtId="9" fontId="1" fillId="2" borderId="0" xfId="0" applyNumberFormat="1" applyFont="1" applyFill="1" applyAlignment="1">
      <alignment horizontal="center"/>
    </xf>
    <xf numFmtId="165" fontId="1" fillId="2" borderId="0" xfId="0" applyNumberFormat="1" applyFont="1" applyFill="1" applyAlignment="1">
      <alignment horizontal="right"/>
    </xf>
    <xf numFmtId="0" fontId="1" fillId="2" borderId="0" xfId="0" applyFont="1" applyFill="1" applyAlignment="1">
      <alignment horizontal="right"/>
    </xf>
    <xf numFmtId="9" fontId="1" fillId="2" borderId="0" xfId="0" applyNumberFormat="1" applyFont="1" applyFill="1" applyAlignment="1">
      <alignment horizontal="left"/>
    </xf>
    <xf numFmtId="0" fontId="1" fillId="2" borderId="0" xfId="0" applyFont="1" applyFill="1" applyAlignment="1">
      <alignment horizontal="center"/>
    </xf>
    <xf numFmtId="9" fontId="2" fillId="2" borderId="0" xfId="0" applyNumberFormat="1" applyFont="1" applyFill="1" applyAlignment="1">
      <alignment horizontal="right"/>
    </xf>
    <xf numFmtId="10" fontId="1" fillId="2" borderId="0" xfId="0" applyNumberFormat="1" applyFont="1" applyFill="1" applyAlignment="1">
      <alignment horizontal="center"/>
    </xf>
    <xf numFmtId="10" fontId="1" fillId="2" borderId="0" xfId="0" applyNumberFormat="1" applyFont="1" applyFill="1" applyAlignment="1">
      <alignment horizontal="left"/>
    </xf>
    <xf numFmtId="1" fontId="1" fillId="2" borderId="0" xfId="0" applyNumberFormat="1" applyFont="1" applyFill="1" applyAlignment="1">
      <alignment horizontal="right"/>
    </xf>
    <xf numFmtId="0" fontId="0" fillId="2" borderId="0" xfId="0" applyFill="1" applyAlignment="1">
      <alignment horizontal="left"/>
    </xf>
    <xf numFmtId="1" fontId="1" fillId="2" borderId="0" xfId="0" applyNumberFormat="1" applyFont="1" applyFill="1" applyAlignment="1">
      <alignment horizontal="center"/>
    </xf>
    <xf numFmtId="9" fontId="4" fillId="2" borderId="0" xfId="0" applyNumberFormat="1" applyFont="1" applyFill="1" applyAlignment="1">
      <alignment horizontal="right"/>
    </xf>
    <xf numFmtId="9" fontId="4" fillId="2" borderId="0" xfId="0" applyNumberFormat="1" applyFont="1" applyFill="1" applyAlignment="1">
      <alignment horizontal="center"/>
    </xf>
    <xf numFmtId="9" fontId="5" fillId="2" borderId="0" xfId="0" applyNumberFormat="1" applyFont="1" applyFill="1" applyAlignment="1">
      <alignment horizontal="center"/>
    </xf>
    <xf numFmtId="9" fontId="5" fillId="2" borderId="0" xfId="0" applyNumberFormat="1" applyFont="1" applyFill="1" applyAlignment="1">
      <alignment horizontal="left"/>
    </xf>
    <xf numFmtId="165" fontId="0" fillId="2" borderId="1" xfId="0" applyNumberFormat="1" applyFill="1" applyBorder="1" applyAlignment="1">
      <alignment horizontal="right"/>
    </xf>
    <xf numFmtId="0" fontId="1" fillId="2" borderId="1" xfId="0" applyFont="1" applyFill="1" applyBorder="1"/>
    <xf numFmtId="0" fontId="0" fillId="2" borderId="1" xfId="0" applyFill="1" applyBorder="1"/>
    <xf numFmtId="0" fontId="6" fillId="2" borderId="0" xfId="0" applyFont="1" applyFill="1" applyAlignment="1">
      <alignment horizontal="right"/>
    </xf>
    <xf numFmtId="0" fontId="4" fillId="2" borderId="0" xfId="0" applyFont="1" applyFill="1" applyAlignment="1">
      <alignment horizontal="right"/>
    </xf>
    <xf numFmtId="1" fontId="3" fillId="2" borderId="0" xfId="0" applyNumberFormat="1" applyFont="1" applyFill="1"/>
    <xf numFmtId="9" fontId="4" fillId="2" borderId="0" xfId="0" applyNumberFormat="1" applyFont="1" applyFill="1"/>
    <xf numFmtId="0" fontId="1" fillId="0" borderId="0" xfId="1" applyFont="1"/>
    <xf numFmtId="0" fontId="3" fillId="0" borderId="0" xfId="1"/>
    <xf numFmtId="0" fontId="7" fillId="0" borderId="2" xfId="1" applyFont="1" applyBorder="1" applyAlignment="1">
      <alignment horizontal="center"/>
    </xf>
    <xf numFmtId="0" fontId="3" fillId="0" borderId="3" xfId="1" applyBorder="1"/>
    <xf numFmtId="0" fontId="7" fillId="0" borderId="4" xfId="1" applyFont="1" applyBorder="1" applyAlignment="1">
      <alignment horizontal="center" vertical="center"/>
    </xf>
    <xf numFmtId="0" fontId="3" fillId="0" borderId="5" xfId="1" applyBorder="1"/>
    <xf numFmtId="0" fontId="1" fillId="0" borderId="6" xfId="1" applyFont="1" applyBorder="1"/>
    <xf numFmtId="0" fontId="3" fillId="0" borderId="7" xfId="1" applyBorder="1"/>
    <xf numFmtId="14" fontId="1" fillId="0" borderId="0" xfId="1" applyNumberFormat="1" applyFont="1" applyAlignment="1">
      <alignment horizontal="left"/>
    </xf>
    <xf numFmtId="0" fontId="1" fillId="0" borderId="6" xfId="1" applyFont="1" applyBorder="1" applyAlignment="1">
      <alignment vertical="top"/>
    </xf>
    <xf numFmtId="0" fontId="8" fillId="0" borderId="0" xfId="1" applyFont="1" applyAlignment="1">
      <alignment horizontal="justify" vertical="center"/>
    </xf>
    <xf numFmtId="8" fontId="1" fillId="0" borderId="0" xfId="1" applyNumberFormat="1" applyFont="1" applyAlignment="1">
      <alignment horizontal="left"/>
    </xf>
    <xf numFmtId="165" fontId="1" fillId="0" borderId="0" xfId="1" applyNumberFormat="1" applyFont="1"/>
    <xf numFmtId="8" fontId="1" fillId="0" borderId="0" xfId="1" applyNumberFormat="1" applyFont="1" applyAlignment="1">
      <alignment horizontal="right"/>
    </xf>
    <xf numFmtId="0" fontId="3" fillId="0" borderId="1" xfId="1" applyBorder="1"/>
    <xf numFmtId="8" fontId="1" fillId="0" borderId="1" xfId="1" applyNumberFormat="1" applyFont="1" applyBorder="1" applyAlignment="1">
      <alignment horizontal="right"/>
    </xf>
    <xf numFmtId="0" fontId="1" fillId="0" borderId="8" xfId="1" applyFont="1" applyBorder="1"/>
    <xf numFmtId="0" fontId="1" fillId="0" borderId="1" xfId="1" applyFont="1" applyBorder="1"/>
    <xf numFmtId="8" fontId="1" fillId="0" borderId="1" xfId="1" applyNumberFormat="1" applyFont="1" applyBorder="1" applyAlignment="1">
      <alignment horizontal="left"/>
    </xf>
    <xf numFmtId="0" fontId="3" fillId="0" borderId="9" xfId="1" applyBorder="1"/>
    <xf numFmtId="0" fontId="1" fillId="0" borderId="10" xfId="1" applyFont="1" applyBorder="1"/>
    <xf numFmtId="0" fontId="7" fillId="0" borderId="3" xfId="1" applyFont="1" applyBorder="1"/>
    <xf numFmtId="0" fontId="9" fillId="0" borderId="0" xfId="2" applyBorder="1"/>
    <xf numFmtId="0" fontId="10" fillId="0" borderId="3" xfId="1" applyFont="1" applyBorder="1"/>
    <xf numFmtId="10" fontId="3" fillId="0" borderId="0" xfId="1" applyNumberFormat="1"/>
    <xf numFmtId="49" fontId="1" fillId="0" borderId="0" xfId="1" applyNumberFormat="1" applyFont="1"/>
    <xf numFmtId="165" fontId="3" fillId="0" borderId="0" xfId="1" applyNumberFormat="1"/>
    <xf numFmtId="168" fontId="1" fillId="0" borderId="0" xfId="1" applyNumberFormat="1" applyFont="1" applyAlignment="1">
      <alignment horizontal="left"/>
    </xf>
    <xf numFmtId="0" fontId="1" fillId="0" borderId="0" xfId="1" applyFont="1" applyAlignment="1">
      <alignment horizontal="center"/>
    </xf>
    <xf numFmtId="168" fontId="1" fillId="0" borderId="0" xfId="3" applyNumberFormat="1" applyFont="1" applyBorder="1" applyAlignment="1">
      <alignment horizontal="right"/>
    </xf>
    <xf numFmtId="0" fontId="1" fillId="0" borderId="1" xfId="1" applyFont="1" applyBorder="1" applyAlignment="1">
      <alignment horizontal="center"/>
    </xf>
    <xf numFmtId="10" fontId="3" fillId="0" borderId="1" xfId="1" applyNumberFormat="1" applyBorder="1"/>
    <xf numFmtId="168" fontId="1" fillId="0" borderId="1" xfId="3" applyNumberFormat="1" applyFont="1" applyBorder="1" applyAlignment="1">
      <alignment horizontal="right"/>
    </xf>
    <xf numFmtId="0" fontId="11" fillId="0" borderId="3" xfId="1" applyFont="1" applyBorder="1" applyAlignment="1">
      <alignment horizontal="center" vertical="center"/>
    </xf>
    <xf numFmtId="0" fontId="3" fillId="0" borderId="0" xfId="1" applyAlignment="1">
      <alignment horizontal="center"/>
    </xf>
    <xf numFmtId="10" fontId="1" fillId="0" borderId="0" xfId="1" applyNumberFormat="1" applyFont="1" applyAlignment="1">
      <alignment horizontal="center"/>
    </xf>
    <xf numFmtId="0" fontId="12" fillId="0" borderId="0" xfId="1" applyFont="1" applyAlignment="1">
      <alignment vertical="center" wrapText="1"/>
    </xf>
    <xf numFmtId="0" fontId="13" fillId="0" borderId="0" xfId="1" applyFont="1" applyAlignment="1">
      <alignment vertical="center" wrapText="1"/>
    </xf>
    <xf numFmtId="0" fontId="12" fillId="0" borderId="0" xfId="1" applyFont="1" applyAlignment="1">
      <alignment horizontal="left" vertical="center" wrapText="1" indent="1"/>
    </xf>
    <xf numFmtId="0" fontId="9" fillId="0" borderId="0" xfId="2" applyAlignment="1">
      <alignment horizontal="left" vertical="center" wrapText="1" indent="1"/>
    </xf>
    <xf numFmtId="0" fontId="15" fillId="0" borderId="0" xfId="0" applyFont="1"/>
    <xf numFmtId="0" fontId="6" fillId="0" borderId="7" xfId="1" applyFont="1" applyBorder="1"/>
    <xf numFmtId="0" fontId="6" fillId="0" borderId="0" xfId="1" applyFont="1"/>
    <xf numFmtId="0" fontId="4" fillId="0" borderId="0" xfId="1" applyFont="1"/>
    <xf numFmtId="0" fontId="14" fillId="0" borderId="0" xfId="4" applyBorder="1"/>
    <xf numFmtId="9" fontId="5" fillId="2" borderId="0" xfId="0" applyNumberFormat="1" applyFont="1" applyFill="1"/>
    <xf numFmtId="167" fontId="5" fillId="2" borderId="0" xfId="0" applyNumberFormat="1" applyFont="1" applyFill="1" applyAlignment="1">
      <alignment horizontal="right"/>
    </xf>
    <xf numFmtId="9" fontId="5" fillId="2" borderId="0" xfId="0" applyNumberFormat="1" applyFont="1" applyFill="1" applyAlignment="1">
      <alignment horizontal="right"/>
    </xf>
    <xf numFmtId="164" fontId="1" fillId="2" borderId="6" xfId="0" applyNumberFormat="1" applyFont="1" applyFill="1" applyBorder="1"/>
    <xf numFmtId="165" fontId="0" fillId="2" borderId="0" xfId="0" applyNumberFormat="1" applyFill="1" applyAlignment="1">
      <alignment horizontal="right"/>
    </xf>
    <xf numFmtId="0" fontId="1" fillId="2" borderId="7" xfId="0" applyFont="1" applyFill="1" applyBorder="1"/>
    <xf numFmtId="1" fontId="0" fillId="2" borderId="6" xfId="0" applyNumberFormat="1" applyFill="1" applyBorder="1"/>
    <xf numFmtId="0" fontId="4" fillId="2" borderId="0" xfId="0" applyFont="1" applyFill="1"/>
    <xf numFmtId="166" fontId="1" fillId="2" borderId="8" xfId="0" applyNumberFormat="1" applyFont="1" applyFill="1" applyBorder="1" applyAlignment="1">
      <alignment horizontal="right"/>
    </xf>
    <xf numFmtId="0" fontId="1" fillId="2" borderId="9" xfId="0" applyFont="1" applyFill="1" applyBorder="1"/>
    <xf numFmtId="166" fontId="1" fillId="2" borderId="6" xfId="0" applyNumberFormat="1" applyFont="1" applyFill="1" applyBorder="1"/>
    <xf numFmtId="164" fontId="1" fillId="2" borderId="6" xfId="0" applyNumberFormat="1" applyFont="1" applyFill="1" applyBorder="1" applyAlignment="1">
      <alignment horizontal="right"/>
    </xf>
    <xf numFmtId="166" fontId="1" fillId="2" borderId="6" xfId="0" applyNumberFormat="1" applyFont="1" applyFill="1" applyBorder="1" applyAlignment="1">
      <alignment horizontal="right"/>
    </xf>
    <xf numFmtId="0" fontId="0" fillId="2" borderId="7" xfId="0" applyFill="1" applyBorder="1"/>
    <xf numFmtId="0" fontId="0" fillId="2" borderId="9" xfId="0" applyFill="1" applyBorder="1"/>
    <xf numFmtId="1" fontId="1" fillId="2" borderId="8" xfId="0" applyNumberFormat="1" applyFont="1" applyFill="1" applyBorder="1" applyAlignment="1">
      <alignment horizontal="right"/>
    </xf>
    <xf numFmtId="166" fontId="1" fillId="2" borderId="8" xfId="0" applyNumberFormat="1" applyFont="1" applyFill="1" applyBorder="1"/>
    <xf numFmtId="165" fontId="1" fillId="2" borderId="1" xfId="0" applyNumberFormat="1" applyFont="1" applyFill="1" applyBorder="1" applyAlignment="1">
      <alignment horizontal="right"/>
    </xf>
    <xf numFmtId="0" fontId="7" fillId="0" borderId="2" xfId="1" applyFont="1" applyBorder="1" applyAlignment="1">
      <alignment horizontal="center" vertical="center"/>
    </xf>
    <xf numFmtId="0" fontId="7" fillId="0" borderId="0" xfId="1" applyFont="1" applyAlignment="1">
      <alignment horizontal="center" vertical="center"/>
    </xf>
    <xf numFmtId="0" fontId="16" fillId="3" borderId="0" xfId="4" applyFont="1" applyFill="1" applyAlignment="1">
      <alignment horizontal="justify" vertical="center"/>
    </xf>
    <xf numFmtId="1" fontId="1" fillId="2" borderId="12" xfId="0" applyNumberFormat="1" applyFont="1" applyFill="1" applyBorder="1" applyAlignment="1">
      <alignment horizontal="center"/>
    </xf>
    <xf numFmtId="1" fontId="1" fillId="2" borderId="13" xfId="0" applyNumberFormat="1" applyFont="1" applyFill="1" applyBorder="1" applyAlignment="1">
      <alignment horizontal="center"/>
    </xf>
    <xf numFmtId="1" fontId="1" fillId="2" borderId="11" xfId="0" applyNumberFormat="1" applyFont="1" applyFill="1" applyBorder="1" applyAlignment="1">
      <alignment horizontal="center"/>
    </xf>
    <xf numFmtId="0" fontId="7" fillId="0" borderId="12" xfId="1" applyFont="1" applyBorder="1" applyAlignment="1">
      <alignment horizontal="center"/>
    </xf>
    <xf numFmtId="0" fontId="7" fillId="0" borderId="13" xfId="1" applyFont="1" applyBorder="1" applyAlignment="1">
      <alignment horizontal="center"/>
    </xf>
    <xf numFmtId="0" fontId="7" fillId="0" borderId="11" xfId="1" applyFont="1" applyBorder="1" applyAlignment="1">
      <alignment horizontal="center"/>
    </xf>
  </cellXfs>
  <cellStyles count="5">
    <cellStyle name="Collegamento ipertestuale" xfId="4" builtinId="8"/>
    <cellStyle name="Collegamento ipertestuale 2" xfId="2" xr:uid="{35B3F917-BBA2-4865-BA02-E6A2F44C8699}"/>
    <cellStyle name="Normale" xfId="0" builtinId="0"/>
    <cellStyle name="Normale 2" xfId="1" xr:uid="{97CB563F-82FA-4163-84B1-361C54765280}"/>
    <cellStyle name="Valuta 2" xfId="3" xr:uid="{2AD3E350-AC6C-4974-8910-4865691B28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12</xdr:col>
      <xdr:colOff>749300</xdr:colOff>
      <xdr:row>6</xdr:row>
      <xdr:rowOff>123826</xdr:rowOff>
    </xdr:from>
    <xdr:to>
      <xdr:col>13</xdr:col>
      <xdr:colOff>200025</xdr:colOff>
      <xdr:row>22</xdr:row>
      <xdr:rowOff>123825</xdr:rowOff>
    </xdr:to>
    <xdr:sp macro="" textlink="">
      <xdr:nvSpPr>
        <xdr:cNvPr id="2" name="AutoShape 40">
          <a:extLst>
            <a:ext uri="{FF2B5EF4-FFF2-40B4-BE49-F238E27FC236}">
              <a16:creationId xmlns:a16="http://schemas.microsoft.com/office/drawing/2014/main" id="{F5CAA4C4-CEA5-4461-AF84-2782EF801005}"/>
            </a:ext>
          </a:extLst>
        </xdr:cNvPr>
        <xdr:cNvSpPr>
          <a:spLocks/>
        </xdr:cNvSpPr>
      </xdr:nvSpPr>
      <xdr:spPr bwMode="auto">
        <a:xfrm>
          <a:off x="7826375" y="1095376"/>
          <a:ext cx="298450" cy="2590799"/>
        </a:xfrm>
        <a:prstGeom prst="leftBrace">
          <a:avLst>
            <a:gd name="adj1" fmla="val 249583"/>
            <a:gd name="adj2" fmla="val 50245"/>
          </a:avLst>
        </a:prstGeom>
        <a:noFill/>
        <a:ln w="12700">
          <a:solidFill>
            <a:srgbClr val="000000"/>
          </a:solidFill>
          <a:round/>
          <a:headEnd/>
          <a:tailEnd/>
        </a:ln>
      </xdr:spPr>
    </xdr:sp>
    <xdr:clientData/>
  </xdr:twoCellAnchor>
  <xdr:twoCellAnchor>
    <xdr:from>
      <xdr:col>9</xdr:col>
      <xdr:colOff>407670</xdr:colOff>
      <xdr:row>3</xdr:row>
      <xdr:rowOff>123824</xdr:rowOff>
    </xdr:from>
    <xdr:to>
      <xdr:col>12</xdr:col>
      <xdr:colOff>255270</xdr:colOff>
      <xdr:row>6</xdr:row>
      <xdr:rowOff>103504</xdr:rowOff>
    </xdr:to>
    <xdr:sp macro="" textlink="">
      <xdr:nvSpPr>
        <xdr:cNvPr id="3" name="Rectangle 2">
          <a:extLst>
            <a:ext uri="{FF2B5EF4-FFF2-40B4-BE49-F238E27FC236}">
              <a16:creationId xmlns:a16="http://schemas.microsoft.com/office/drawing/2014/main" id="{EC357FBA-B65D-48A4-8B86-144E8CBC2532}"/>
            </a:ext>
          </a:extLst>
        </xdr:cNvPr>
        <xdr:cNvSpPr>
          <a:spLocks noChangeArrowheads="1"/>
        </xdr:cNvSpPr>
      </xdr:nvSpPr>
      <xdr:spPr bwMode="auto">
        <a:xfrm>
          <a:off x="4970145" y="609599"/>
          <a:ext cx="2133600" cy="465455"/>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576" tIns="32004" rIns="36576" bIns="0" anchor="t" upright="1"/>
        <a:lstStyle/>
        <a:p>
          <a:pPr algn="ctr" rtl="0">
            <a:defRPr sz="1000"/>
          </a:pPr>
          <a:r>
            <a:rPr lang="it-IT" sz="1200" b="1" i="0" strike="noStrike">
              <a:solidFill>
                <a:srgbClr val="000000"/>
              </a:solidFill>
              <a:latin typeface="Arial"/>
              <a:cs typeface="Arial"/>
            </a:rPr>
            <a:t>NEW</a:t>
          </a:r>
          <a:r>
            <a:rPr lang="it-IT" sz="1200" b="1" i="0" strike="noStrike" baseline="0">
              <a:solidFill>
                <a:srgbClr val="000000"/>
              </a:solidFill>
              <a:latin typeface="Arial"/>
              <a:cs typeface="Arial"/>
            </a:rPr>
            <a:t> LIFE Sàrl</a:t>
          </a:r>
          <a:endParaRPr lang="it-IT" sz="1200" b="1" i="0" strike="noStrike">
            <a:solidFill>
              <a:srgbClr val="000000"/>
            </a:solidFill>
            <a:latin typeface="Arial"/>
            <a:cs typeface="Arial"/>
          </a:endParaRPr>
        </a:p>
        <a:p>
          <a:pPr algn="ctr" rtl="0">
            <a:defRPr sz="1000"/>
          </a:pPr>
          <a:r>
            <a:rPr lang="it-IT" sz="1200" b="1" i="0" strike="noStrike">
              <a:solidFill>
                <a:srgbClr val="000000"/>
              </a:solidFill>
              <a:latin typeface="Arial"/>
              <a:cs typeface="Arial"/>
            </a:rPr>
            <a:t>Luxembourg</a:t>
          </a:r>
          <a:endParaRPr lang="it-IT" sz="1200" b="0" i="0" strike="noStrike">
            <a:solidFill>
              <a:srgbClr val="000000"/>
            </a:solidFill>
            <a:latin typeface="Arial"/>
            <a:cs typeface="Arial"/>
          </a:endParaRPr>
        </a:p>
        <a:p>
          <a:pPr algn="ctr" rtl="0">
            <a:defRPr sz="1000"/>
          </a:pPr>
          <a:endParaRPr lang="it-IT" sz="1200" b="0" i="0" strike="noStrike">
            <a:solidFill>
              <a:srgbClr val="000000"/>
            </a:solidFill>
            <a:latin typeface="Arial"/>
            <a:cs typeface="Arial"/>
          </a:endParaRPr>
        </a:p>
        <a:p>
          <a:pPr algn="ctr" rtl="0">
            <a:defRPr sz="1000"/>
          </a:pPr>
          <a:endParaRPr lang="it-IT" sz="1200" b="0" i="0" strike="noStrike">
            <a:solidFill>
              <a:srgbClr val="000000"/>
            </a:solidFill>
            <a:latin typeface="Arial"/>
            <a:cs typeface="Arial"/>
          </a:endParaRPr>
        </a:p>
      </xdr:txBody>
    </xdr:sp>
    <xdr:clientData/>
  </xdr:twoCellAnchor>
  <xdr:twoCellAnchor>
    <xdr:from>
      <xdr:col>5</xdr:col>
      <xdr:colOff>9525</xdr:colOff>
      <xdr:row>16</xdr:row>
      <xdr:rowOff>123824</xdr:rowOff>
    </xdr:from>
    <xdr:to>
      <xdr:col>5</xdr:col>
      <xdr:colOff>9525</xdr:colOff>
      <xdr:row>21</xdr:row>
      <xdr:rowOff>47624</xdr:rowOff>
    </xdr:to>
    <xdr:sp macro="" textlink="">
      <xdr:nvSpPr>
        <xdr:cNvPr id="4" name="Line 43">
          <a:extLst>
            <a:ext uri="{FF2B5EF4-FFF2-40B4-BE49-F238E27FC236}">
              <a16:creationId xmlns:a16="http://schemas.microsoft.com/office/drawing/2014/main" id="{F1C5AFD6-1960-4137-A7DD-DA6A7041D849}"/>
            </a:ext>
          </a:extLst>
        </xdr:cNvPr>
        <xdr:cNvSpPr>
          <a:spLocks noChangeShapeType="1"/>
        </xdr:cNvSpPr>
      </xdr:nvSpPr>
      <xdr:spPr bwMode="auto">
        <a:xfrm>
          <a:off x="2209800" y="2714624"/>
          <a:ext cx="0" cy="733425"/>
        </a:xfrm>
        <a:prstGeom prst="line">
          <a:avLst/>
        </a:prstGeom>
        <a:noFill/>
        <a:ln w="19050">
          <a:solidFill>
            <a:srgbClr val="000000"/>
          </a:solidFill>
          <a:round/>
          <a:headEnd/>
          <a:tailEnd type="triangle" w="med" len="med"/>
        </a:ln>
      </xdr:spPr>
    </xdr:sp>
    <xdr:clientData/>
  </xdr:twoCellAnchor>
  <xdr:twoCellAnchor>
    <xdr:from>
      <xdr:col>1</xdr:col>
      <xdr:colOff>0</xdr:colOff>
      <xdr:row>13</xdr:row>
      <xdr:rowOff>104775</xdr:rowOff>
    </xdr:from>
    <xdr:to>
      <xdr:col>7</xdr:col>
      <xdr:colOff>238125</xdr:colOff>
      <xdr:row>16</xdr:row>
      <xdr:rowOff>127001</xdr:rowOff>
    </xdr:to>
    <xdr:sp macro="" textlink="">
      <xdr:nvSpPr>
        <xdr:cNvPr id="7" name="Rectangle 3">
          <a:extLst>
            <a:ext uri="{FF2B5EF4-FFF2-40B4-BE49-F238E27FC236}">
              <a16:creationId xmlns:a16="http://schemas.microsoft.com/office/drawing/2014/main" id="{18275051-D268-4ADF-A254-09F99D0F7E18}"/>
            </a:ext>
          </a:extLst>
        </xdr:cNvPr>
        <xdr:cNvSpPr>
          <a:spLocks noChangeArrowheads="1"/>
        </xdr:cNvSpPr>
      </xdr:nvSpPr>
      <xdr:spPr bwMode="auto">
        <a:xfrm>
          <a:off x="342900" y="2209800"/>
          <a:ext cx="3190875" cy="508001"/>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576" tIns="32004" rIns="36576" bIns="0" anchor="t" upright="1"/>
        <a:lstStyle/>
        <a:p>
          <a:pPr algn="ctr" rtl="0">
            <a:defRPr sz="1000"/>
          </a:pPr>
          <a:r>
            <a:rPr lang="it-IT" sz="1200" b="1" i="0" strike="noStrike" baseline="0">
              <a:solidFill>
                <a:srgbClr val="000000"/>
              </a:solidFill>
              <a:latin typeface="Arial"/>
              <a:cs typeface="Arial"/>
            </a:rPr>
            <a:t>TRI STAR ENERBRAS ONE SCP</a:t>
          </a:r>
        </a:p>
        <a:p>
          <a:pPr algn="ctr" rtl="0">
            <a:defRPr sz="1000"/>
          </a:pPr>
          <a:r>
            <a:rPr lang="it-IT" sz="1200" b="1" i="0" strike="noStrike" baseline="0">
              <a:solidFill>
                <a:srgbClr val="000000"/>
              </a:solidFill>
              <a:latin typeface="Arial"/>
              <a:cs typeface="Arial"/>
            </a:rPr>
            <a:t>Brasil</a:t>
          </a:r>
        </a:p>
        <a:p>
          <a:pPr algn="ctr" rtl="0">
            <a:defRPr sz="1000"/>
          </a:pPr>
          <a:endParaRPr lang="it-IT" sz="1200" b="1" i="0" strike="noStrike" baseline="0">
            <a:solidFill>
              <a:srgbClr val="000000"/>
            </a:solidFill>
            <a:latin typeface="Arial"/>
            <a:cs typeface="Arial"/>
          </a:endParaRPr>
        </a:p>
        <a:p>
          <a:pPr algn="ctr" rtl="0">
            <a:defRPr sz="1000"/>
          </a:pPr>
          <a:endParaRPr lang="it-IT" sz="1200" b="1" i="0" strike="noStrike">
            <a:solidFill>
              <a:srgbClr val="000000"/>
            </a:solidFill>
            <a:latin typeface="Arial"/>
            <a:cs typeface="Arial"/>
          </a:endParaRPr>
        </a:p>
      </xdr:txBody>
    </xdr:sp>
    <xdr:clientData/>
  </xdr:twoCellAnchor>
  <xdr:twoCellAnchor>
    <xdr:from>
      <xdr:col>6</xdr:col>
      <xdr:colOff>581025</xdr:colOff>
      <xdr:row>15</xdr:row>
      <xdr:rowOff>12700</xdr:rowOff>
    </xdr:from>
    <xdr:to>
      <xdr:col>7</xdr:col>
      <xdr:colOff>247650</xdr:colOff>
      <xdr:row>16</xdr:row>
      <xdr:rowOff>130175</xdr:rowOff>
    </xdr:to>
    <xdr:pic>
      <xdr:nvPicPr>
        <xdr:cNvPr id="8" name="Picture 26" descr="BRAZ001">
          <a:extLst>
            <a:ext uri="{FF2B5EF4-FFF2-40B4-BE49-F238E27FC236}">
              <a16:creationId xmlns:a16="http://schemas.microsoft.com/office/drawing/2014/main" id="{B45C23DE-4882-4D74-952B-05E79B33CC33}"/>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114675" y="2441575"/>
          <a:ext cx="428625" cy="279400"/>
        </a:xfrm>
        <a:prstGeom prst="rect">
          <a:avLst/>
        </a:prstGeom>
        <a:noFill/>
        <a:ln w="9525">
          <a:solidFill>
            <a:srgbClr val="000000"/>
          </a:solidFill>
          <a:miter lim="800000"/>
          <a:headEnd/>
          <a:tailEnd/>
        </a:ln>
      </xdr:spPr>
    </xdr:pic>
    <xdr:clientData/>
  </xdr:twoCellAnchor>
  <xdr:twoCellAnchor editAs="oneCell">
    <xdr:from>
      <xdr:col>11</xdr:col>
      <xdr:colOff>577850</xdr:colOff>
      <xdr:row>4</xdr:row>
      <xdr:rowOff>146050</xdr:rowOff>
    </xdr:from>
    <xdr:to>
      <xdr:col>12</xdr:col>
      <xdr:colOff>263525</xdr:colOff>
      <xdr:row>6</xdr:row>
      <xdr:rowOff>117475</xdr:rowOff>
    </xdr:to>
    <xdr:pic>
      <xdr:nvPicPr>
        <xdr:cNvPr id="9" name="Picture 96" descr="flags_of_Luxembourg2">
          <a:extLst>
            <a:ext uri="{FF2B5EF4-FFF2-40B4-BE49-F238E27FC236}">
              <a16:creationId xmlns:a16="http://schemas.microsoft.com/office/drawing/2014/main" id="{669EFE31-9E91-403C-BEB3-2E028538069C}"/>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664325" y="793750"/>
          <a:ext cx="447675" cy="295275"/>
        </a:xfrm>
        <a:prstGeom prst="rect">
          <a:avLst/>
        </a:prstGeom>
        <a:noFill/>
        <a:ln w="9525">
          <a:noFill/>
          <a:miter lim="800000"/>
          <a:headEnd/>
          <a:tailEnd/>
        </a:ln>
      </xdr:spPr>
    </xdr:pic>
    <xdr:clientData/>
  </xdr:twoCellAnchor>
  <xdr:twoCellAnchor>
    <xdr:from>
      <xdr:col>8</xdr:col>
      <xdr:colOff>504824</xdr:colOff>
      <xdr:row>13</xdr:row>
      <xdr:rowOff>104774</xdr:rowOff>
    </xdr:from>
    <xdr:to>
      <xdr:col>12</xdr:col>
      <xdr:colOff>657224</xdr:colOff>
      <xdr:row>16</xdr:row>
      <xdr:rowOff>133350</xdr:rowOff>
    </xdr:to>
    <xdr:sp macro="" textlink="">
      <xdr:nvSpPr>
        <xdr:cNvPr id="11" name="Rectangle 3">
          <a:extLst>
            <a:ext uri="{FF2B5EF4-FFF2-40B4-BE49-F238E27FC236}">
              <a16:creationId xmlns:a16="http://schemas.microsoft.com/office/drawing/2014/main" id="{731C6756-F3DF-4291-87B0-08E52378A128}"/>
            </a:ext>
          </a:extLst>
        </xdr:cNvPr>
        <xdr:cNvSpPr>
          <a:spLocks noChangeArrowheads="1"/>
        </xdr:cNvSpPr>
      </xdr:nvSpPr>
      <xdr:spPr bwMode="auto">
        <a:xfrm>
          <a:off x="4562474" y="2209799"/>
          <a:ext cx="2943225" cy="514351"/>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576" tIns="32004" rIns="36576" bIns="0" anchor="t" upright="1"/>
        <a:lstStyle/>
        <a:p>
          <a:pPr algn="ctr" rtl="0">
            <a:defRPr sz="1000"/>
          </a:pPr>
          <a:r>
            <a:rPr lang="it-IT" sz="1200" b="1" i="0" strike="noStrike">
              <a:solidFill>
                <a:srgbClr val="000000"/>
              </a:solidFill>
              <a:latin typeface="Arial"/>
              <a:cs typeface="Arial"/>
            </a:rPr>
            <a:t>GREEN</a:t>
          </a:r>
          <a:r>
            <a:rPr lang="it-IT" sz="1200" b="1" i="0" strike="noStrike" baseline="0">
              <a:solidFill>
                <a:srgbClr val="000000"/>
              </a:solidFill>
              <a:latin typeface="Arial"/>
              <a:cs typeface="Arial"/>
            </a:rPr>
            <a:t> ENERBRAS ONE SCSp</a:t>
          </a:r>
          <a:endParaRPr lang="it-IT" sz="1200" b="1" i="0" strike="noStrike">
            <a:solidFill>
              <a:srgbClr val="000000"/>
            </a:solidFill>
            <a:latin typeface="Arial"/>
            <a:cs typeface="Arial"/>
          </a:endParaRPr>
        </a:p>
        <a:p>
          <a:pPr algn="ctr" rtl="0">
            <a:defRPr sz="1000"/>
          </a:pPr>
          <a:r>
            <a:rPr lang="it-IT" sz="1200" b="1" i="0" strike="noStrike">
              <a:solidFill>
                <a:srgbClr val="000000"/>
              </a:solidFill>
              <a:latin typeface="Arial"/>
              <a:cs typeface="Arial"/>
            </a:rPr>
            <a:t>Luxembourg</a:t>
          </a:r>
        </a:p>
      </xdr:txBody>
    </xdr:sp>
    <xdr:clientData/>
  </xdr:twoCellAnchor>
  <xdr:twoCellAnchor>
    <xdr:from>
      <xdr:col>1</xdr:col>
      <xdr:colOff>38100</xdr:colOff>
      <xdr:row>3</xdr:row>
      <xdr:rowOff>123826</xdr:rowOff>
    </xdr:from>
    <xdr:to>
      <xdr:col>7</xdr:col>
      <xdr:colOff>352424</xdr:colOff>
      <xdr:row>6</xdr:row>
      <xdr:rowOff>133350</xdr:rowOff>
    </xdr:to>
    <xdr:sp macro="" textlink="">
      <xdr:nvSpPr>
        <xdr:cNvPr id="14" name="Rectangle 3">
          <a:extLst>
            <a:ext uri="{FF2B5EF4-FFF2-40B4-BE49-F238E27FC236}">
              <a16:creationId xmlns:a16="http://schemas.microsoft.com/office/drawing/2014/main" id="{0FD411E2-44E4-473D-86EE-95BE9ABC3809}"/>
            </a:ext>
          </a:extLst>
        </xdr:cNvPr>
        <xdr:cNvSpPr>
          <a:spLocks noChangeArrowheads="1"/>
        </xdr:cNvSpPr>
      </xdr:nvSpPr>
      <xdr:spPr bwMode="auto">
        <a:xfrm>
          <a:off x="381000" y="609601"/>
          <a:ext cx="3267074" cy="495299"/>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576" tIns="32004" rIns="36576" bIns="0" anchor="t" upright="1"/>
        <a:lstStyle/>
        <a:p>
          <a:pPr algn="ctr" rtl="0">
            <a:defRPr sz="1000"/>
          </a:pPr>
          <a:r>
            <a:rPr lang="it-IT" sz="1200" b="1" i="0" strike="noStrike" baseline="0">
              <a:solidFill>
                <a:srgbClr val="000000"/>
              </a:solidFill>
              <a:latin typeface="Arial"/>
              <a:cs typeface="Arial"/>
            </a:rPr>
            <a:t>TRI STAR ENERGY LTDA</a:t>
          </a:r>
          <a:endParaRPr lang="it-IT" sz="1200" b="1" i="0" strike="noStrike">
            <a:solidFill>
              <a:srgbClr val="000000"/>
            </a:solidFill>
            <a:latin typeface="Arial"/>
            <a:cs typeface="Arial"/>
          </a:endParaRPr>
        </a:p>
        <a:p>
          <a:pPr algn="ctr" rtl="0">
            <a:defRPr sz="1000"/>
          </a:pPr>
          <a:r>
            <a:rPr lang="it-IT" sz="1200" b="1" i="0" strike="noStrike">
              <a:solidFill>
                <a:srgbClr val="000000"/>
              </a:solidFill>
              <a:latin typeface="Arial"/>
              <a:cs typeface="Arial"/>
            </a:rPr>
            <a:t>Brasil</a:t>
          </a:r>
        </a:p>
      </xdr:txBody>
    </xdr:sp>
    <xdr:clientData/>
  </xdr:twoCellAnchor>
  <xdr:twoCellAnchor>
    <xdr:from>
      <xdr:col>6</xdr:col>
      <xdr:colOff>685800</xdr:colOff>
      <xdr:row>5</xdr:row>
      <xdr:rowOff>19050</xdr:rowOff>
    </xdr:from>
    <xdr:to>
      <xdr:col>7</xdr:col>
      <xdr:colOff>352425</xdr:colOff>
      <xdr:row>6</xdr:row>
      <xdr:rowOff>130175</xdr:rowOff>
    </xdr:to>
    <xdr:pic>
      <xdr:nvPicPr>
        <xdr:cNvPr id="15" name="Picture 26" descr="BRAZ001">
          <a:extLst>
            <a:ext uri="{FF2B5EF4-FFF2-40B4-BE49-F238E27FC236}">
              <a16:creationId xmlns:a16="http://schemas.microsoft.com/office/drawing/2014/main" id="{498A19FA-372F-4BFC-8157-FEDA6495A57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219450" y="828675"/>
          <a:ext cx="428625" cy="273050"/>
        </a:xfrm>
        <a:prstGeom prst="rect">
          <a:avLst/>
        </a:prstGeom>
        <a:noFill/>
        <a:ln w="9525">
          <a:solidFill>
            <a:srgbClr val="000000"/>
          </a:solidFill>
          <a:miter lim="800000"/>
          <a:headEnd/>
          <a:tailEnd/>
        </a:ln>
      </xdr:spPr>
    </xdr:pic>
    <xdr:clientData/>
  </xdr:twoCellAnchor>
  <xdr:twoCellAnchor>
    <xdr:from>
      <xdr:col>7</xdr:col>
      <xdr:colOff>333375</xdr:colOff>
      <xdr:row>14</xdr:row>
      <xdr:rowOff>152400</xdr:rowOff>
    </xdr:from>
    <xdr:to>
      <xdr:col>9</xdr:col>
      <xdr:colOff>9524</xdr:colOff>
      <xdr:row>15</xdr:row>
      <xdr:rowOff>1</xdr:rowOff>
    </xdr:to>
    <xdr:sp macro="" textlink="">
      <xdr:nvSpPr>
        <xdr:cNvPr id="16" name="Line 43">
          <a:extLst>
            <a:ext uri="{FF2B5EF4-FFF2-40B4-BE49-F238E27FC236}">
              <a16:creationId xmlns:a16="http://schemas.microsoft.com/office/drawing/2014/main" id="{4FB54E95-C6F5-41C6-8BCC-63B54D0A0E8D}"/>
            </a:ext>
          </a:extLst>
        </xdr:cNvPr>
        <xdr:cNvSpPr>
          <a:spLocks noChangeShapeType="1"/>
        </xdr:cNvSpPr>
      </xdr:nvSpPr>
      <xdr:spPr bwMode="auto">
        <a:xfrm flipH="1">
          <a:off x="3629025" y="2419350"/>
          <a:ext cx="942974" cy="9526"/>
        </a:xfrm>
        <a:prstGeom prst="line">
          <a:avLst/>
        </a:prstGeom>
        <a:noFill/>
        <a:ln w="19050">
          <a:solidFill>
            <a:srgbClr val="000000"/>
          </a:solidFill>
          <a:round/>
          <a:headEnd/>
          <a:tailEnd type="triangle" w="med" len="med"/>
        </a:ln>
      </xdr:spPr>
    </xdr:sp>
    <xdr:clientData/>
  </xdr:twoCellAnchor>
  <xdr:twoCellAnchor>
    <xdr:from>
      <xdr:col>1</xdr:col>
      <xdr:colOff>0</xdr:colOff>
      <xdr:row>33</xdr:row>
      <xdr:rowOff>9524</xdr:rowOff>
    </xdr:from>
    <xdr:to>
      <xdr:col>6</xdr:col>
      <xdr:colOff>171450</xdr:colOff>
      <xdr:row>36</xdr:row>
      <xdr:rowOff>142875</xdr:rowOff>
    </xdr:to>
    <xdr:sp macro="" textlink="">
      <xdr:nvSpPr>
        <xdr:cNvPr id="18" name="Rectangle 3">
          <a:extLst>
            <a:ext uri="{FF2B5EF4-FFF2-40B4-BE49-F238E27FC236}">
              <a16:creationId xmlns:a16="http://schemas.microsoft.com/office/drawing/2014/main" id="{40082BA0-2ACE-4FA6-BD34-50B7D338C84A}"/>
            </a:ext>
          </a:extLst>
        </xdr:cNvPr>
        <xdr:cNvSpPr>
          <a:spLocks noChangeArrowheads="1"/>
        </xdr:cNvSpPr>
      </xdr:nvSpPr>
      <xdr:spPr bwMode="auto">
        <a:xfrm>
          <a:off x="342900" y="5353049"/>
          <a:ext cx="2362200" cy="619126"/>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576" tIns="32004" rIns="36576" bIns="0" anchor="t" upright="1"/>
        <a:lstStyle/>
        <a:p>
          <a:pPr algn="ctr" rtl="0">
            <a:defRPr sz="1000"/>
          </a:pPr>
          <a:r>
            <a:rPr lang="it-IT" sz="1200" b="1" i="0" strike="noStrike">
              <a:solidFill>
                <a:srgbClr val="000000"/>
              </a:solidFill>
              <a:latin typeface="Arial"/>
              <a:cs typeface="Arial"/>
            </a:rPr>
            <a:t>B</a:t>
          </a:r>
          <a:r>
            <a:rPr lang="it-IT" sz="1200" b="1" i="0" strike="noStrike" baseline="0">
              <a:solidFill>
                <a:srgbClr val="000000"/>
              </a:solidFill>
              <a:latin typeface="Arial"/>
              <a:cs typeface="Arial"/>
            </a:rPr>
            <a:t> &amp; D SOLUCOES ENERGETICAS LTDA</a:t>
          </a:r>
        </a:p>
        <a:p>
          <a:pPr algn="ctr" rtl="0">
            <a:defRPr sz="1000"/>
          </a:pPr>
          <a:r>
            <a:rPr lang="it-IT" sz="1200" b="1" i="0" strike="noStrike" baseline="0">
              <a:solidFill>
                <a:srgbClr val="000000"/>
              </a:solidFill>
              <a:latin typeface="Arial"/>
              <a:cs typeface="Arial"/>
            </a:rPr>
            <a:t>Brasil</a:t>
          </a:r>
          <a:endParaRPr lang="it-IT" sz="1200" b="1" i="0" strike="noStrike">
            <a:solidFill>
              <a:srgbClr val="000000"/>
            </a:solidFill>
            <a:latin typeface="Arial"/>
            <a:cs typeface="Arial"/>
          </a:endParaRPr>
        </a:p>
      </xdr:txBody>
    </xdr:sp>
    <xdr:clientData/>
  </xdr:twoCellAnchor>
  <xdr:twoCellAnchor editAs="oneCell">
    <xdr:from>
      <xdr:col>12</xdr:col>
      <xdr:colOff>219075</xdr:colOff>
      <xdr:row>15</xdr:row>
      <xdr:rowOff>19050</xdr:rowOff>
    </xdr:from>
    <xdr:to>
      <xdr:col>12</xdr:col>
      <xdr:colOff>666750</xdr:colOff>
      <xdr:row>16</xdr:row>
      <xdr:rowOff>152400</xdr:rowOff>
    </xdr:to>
    <xdr:pic>
      <xdr:nvPicPr>
        <xdr:cNvPr id="26" name="Picture 96" descr="flags_of_Luxembourg2">
          <a:extLst>
            <a:ext uri="{FF2B5EF4-FFF2-40B4-BE49-F238E27FC236}">
              <a16:creationId xmlns:a16="http://schemas.microsoft.com/office/drawing/2014/main" id="{667F6FFA-D7F6-4277-86AB-18A9176EBA09}"/>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067550" y="2447925"/>
          <a:ext cx="447675" cy="295275"/>
        </a:xfrm>
        <a:prstGeom prst="rect">
          <a:avLst/>
        </a:prstGeom>
        <a:noFill/>
        <a:ln w="9525">
          <a:noFill/>
          <a:miter lim="800000"/>
          <a:headEnd/>
          <a:tailEnd/>
        </a:ln>
      </xdr:spPr>
    </xdr:pic>
    <xdr:clientData/>
  </xdr:twoCellAnchor>
  <xdr:twoCellAnchor editAs="oneCell">
    <xdr:from>
      <xdr:col>2</xdr:col>
      <xdr:colOff>47625</xdr:colOff>
      <xdr:row>21</xdr:row>
      <xdr:rowOff>114300</xdr:rowOff>
    </xdr:from>
    <xdr:to>
      <xdr:col>5</xdr:col>
      <xdr:colOff>272114</xdr:colOff>
      <xdr:row>27</xdr:row>
      <xdr:rowOff>81213</xdr:rowOff>
    </xdr:to>
    <xdr:pic>
      <xdr:nvPicPr>
        <xdr:cNvPr id="28" name="Picture 4">
          <a:extLst>
            <a:ext uri="{FF2B5EF4-FFF2-40B4-BE49-F238E27FC236}">
              <a16:creationId xmlns:a16="http://schemas.microsoft.com/office/drawing/2014/main" id="{D330DC11-C72C-D9C0-DDCA-6C03882C8551}"/>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2106" t="12858" r="11010" b="20061"/>
        <a:stretch/>
      </xdr:blipFill>
      <xdr:spPr>
        <a:xfrm>
          <a:off x="723900" y="3514725"/>
          <a:ext cx="1434164" cy="938463"/>
        </a:xfrm>
        <a:prstGeom prst="rect">
          <a:avLst/>
        </a:prstGeom>
      </xdr:spPr>
    </xdr:pic>
    <xdr:clientData/>
  </xdr:twoCellAnchor>
  <xdr:twoCellAnchor>
    <xdr:from>
      <xdr:col>5</xdr:col>
      <xdr:colOff>390525</xdr:colOff>
      <xdr:row>35</xdr:row>
      <xdr:rowOff>28575</xdr:rowOff>
    </xdr:from>
    <xdr:to>
      <xdr:col>6</xdr:col>
      <xdr:colOff>171450</xdr:colOff>
      <xdr:row>36</xdr:row>
      <xdr:rowOff>146050</xdr:rowOff>
    </xdr:to>
    <xdr:pic>
      <xdr:nvPicPr>
        <xdr:cNvPr id="31" name="Picture 26" descr="BRAZ001">
          <a:extLst>
            <a:ext uri="{FF2B5EF4-FFF2-40B4-BE49-F238E27FC236}">
              <a16:creationId xmlns:a16="http://schemas.microsoft.com/office/drawing/2014/main" id="{961BC324-DA41-4414-9C6F-AB2AB9E53E43}"/>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276475" y="5695950"/>
          <a:ext cx="428625" cy="279400"/>
        </a:xfrm>
        <a:prstGeom prst="rect">
          <a:avLst/>
        </a:prstGeom>
        <a:noFill/>
        <a:ln w="9525">
          <a:solidFill>
            <a:srgbClr val="000000"/>
          </a:solidFill>
          <a:miter lim="800000"/>
          <a:headEnd/>
          <a:tailEnd/>
        </a:ln>
      </xdr:spPr>
    </xdr:pic>
    <xdr:clientData/>
  </xdr:twoCellAnchor>
  <xdr:twoCellAnchor>
    <xdr:from>
      <xdr:col>4</xdr:col>
      <xdr:colOff>485773</xdr:colOff>
      <xdr:row>30</xdr:row>
      <xdr:rowOff>0</xdr:rowOff>
    </xdr:from>
    <xdr:to>
      <xdr:col>4</xdr:col>
      <xdr:colOff>495300</xdr:colOff>
      <xdr:row>33</xdr:row>
      <xdr:rowOff>9524</xdr:rowOff>
    </xdr:to>
    <xdr:sp macro="" textlink="">
      <xdr:nvSpPr>
        <xdr:cNvPr id="32" name="Line 43">
          <a:extLst>
            <a:ext uri="{FF2B5EF4-FFF2-40B4-BE49-F238E27FC236}">
              <a16:creationId xmlns:a16="http://schemas.microsoft.com/office/drawing/2014/main" id="{099AB574-A1BF-430C-A880-A55A0487F661}"/>
            </a:ext>
          </a:extLst>
        </xdr:cNvPr>
        <xdr:cNvSpPr>
          <a:spLocks noChangeShapeType="1"/>
        </xdr:cNvSpPr>
      </xdr:nvSpPr>
      <xdr:spPr bwMode="auto">
        <a:xfrm flipV="1">
          <a:off x="1828798" y="4857750"/>
          <a:ext cx="9527" cy="495299"/>
        </a:xfrm>
        <a:prstGeom prst="line">
          <a:avLst/>
        </a:prstGeom>
        <a:noFill/>
        <a:ln w="19050">
          <a:solidFill>
            <a:srgbClr val="000000"/>
          </a:solidFill>
          <a:round/>
          <a:headEnd/>
          <a:tailEnd type="triangle" w="med" len="med"/>
        </a:ln>
      </xdr:spPr>
    </xdr:sp>
    <xdr:clientData/>
  </xdr:twoCellAnchor>
  <xdr:twoCellAnchor>
    <xdr:from>
      <xdr:col>10</xdr:col>
      <xdr:colOff>676275</xdr:colOff>
      <xdr:row>6</xdr:row>
      <xdr:rowOff>114300</xdr:rowOff>
    </xdr:from>
    <xdr:to>
      <xdr:col>10</xdr:col>
      <xdr:colOff>676275</xdr:colOff>
      <xdr:row>11</xdr:row>
      <xdr:rowOff>142876</xdr:rowOff>
    </xdr:to>
    <xdr:sp macro="" textlink="">
      <xdr:nvSpPr>
        <xdr:cNvPr id="5" name="Line 43">
          <a:extLst>
            <a:ext uri="{FF2B5EF4-FFF2-40B4-BE49-F238E27FC236}">
              <a16:creationId xmlns:a16="http://schemas.microsoft.com/office/drawing/2014/main" id="{9CDB979A-885D-44F9-9DD8-FC1C07EDDF63}"/>
            </a:ext>
          </a:extLst>
        </xdr:cNvPr>
        <xdr:cNvSpPr>
          <a:spLocks noChangeShapeType="1"/>
        </xdr:cNvSpPr>
      </xdr:nvSpPr>
      <xdr:spPr bwMode="auto">
        <a:xfrm flipH="1">
          <a:off x="5467350" y="1085850"/>
          <a:ext cx="0" cy="838201"/>
        </a:xfrm>
        <a:prstGeom prst="line">
          <a:avLst/>
        </a:prstGeom>
        <a:noFill/>
        <a:ln w="19050">
          <a:solidFill>
            <a:srgbClr val="000000"/>
          </a:solidFill>
          <a:round/>
          <a:headEnd/>
          <a:tailEnd type="triangle" w="med" len="med"/>
        </a:ln>
      </xdr:spPr>
    </xdr:sp>
    <xdr:clientData/>
  </xdr:twoCellAnchor>
  <xdr:twoCellAnchor editAs="oneCell">
    <xdr:from>
      <xdr:col>5</xdr:col>
      <xdr:colOff>333375</xdr:colOff>
      <xdr:row>21</xdr:row>
      <xdr:rowOff>123825</xdr:rowOff>
    </xdr:from>
    <xdr:to>
      <xdr:col>7</xdr:col>
      <xdr:colOff>357839</xdr:colOff>
      <xdr:row>27</xdr:row>
      <xdr:rowOff>90738</xdr:rowOff>
    </xdr:to>
    <xdr:pic>
      <xdr:nvPicPr>
        <xdr:cNvPr id="12" name="Picture 4">
          <a:extLst>
            <a:ext uri="{FF2B5EF4-FFF2-40B4-BE49-F238E27FC236}">
              <a16:creationId xmlns:a16="http://schemas.microsoft.com/office/drawing/2014/main" id="{82B8AF9C-ED41-464F-AA2B-FD44C95A93D6}"/>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2106" t="12858" r="11010" b="20061"/>
        <a:stretch/>
      </xdr:blipFill>
      <xdr:spPr>
        <a:xfrm>
          <a:off x="2219325" y="3524250"/>
          <a:ext cx="1434164" cy="938463"/>
        </a:xfrm>
        <a:prstGeom prst="rect">
          <a:avLst/>
        </a:prstGeom>
      </xdr:spPr>
    </xdr:pic>
    <xdr:clientData/>
  </xdr:twoCellAnchor>
  <xdr:twoCellAnchor>
    <xdr:from>
      <xdr:col>6</xdr:col>
      <xdr:colOff>495299</xdr:colOff>
      <xdr:row>33</xdr:row>
      <xdr:rowOff>19049</xdr:rowOff>
    </xdr:from>
    <xdr:to>
      <xdr:col>10</xdr:col>
      <xdr:colOff>247649</xdr:colOff>
      <xdr:row>36</xdr:row>
      <xdr:rowOff>152400</xdr:rowOff>
    </xdr:to>
    <xdr:sp macro="" textlink="">
      <xdr:nvSpPr>
        <xdr:cNvPr id="6" name="Rectangle 3">
          <a:extLst>
            <a:ext uri="{FF2B5EF4-FFF2-40B4-BE49-F238E27FC236}">
              <a16:creationId xmlns:a16="http://schemas.microsoft.com/office/drawing/2014/main" id="{165C1B5F-725D-4C54-8D4E-896CF0F120C1}"/>
            </a:ext>
          </a:extLst>
        </xdr:cNvPr>
        <xdr:cNvSpPr>
          <a:spLocks noChangeArrowheads="1"/>
        </xdr:cNvSpPr>
      </xdr:nvSpPr>
      <xdr:spPr bwMode="auto">
        <a:xfrm>
          <a:off x="3028949" y="5362574"/>
          <a:ext cx="2543175" cy="619126"/>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576" tIns="32004" rIns="36576" bIns="0" anchor="t" upright="1"/>
        <a:lstStyle/>
        <a:p>
          <a:pPr algn="ctr" rtl="0">
            <a:defRPr sz="1000"/>
          </a:pPr>
          <a:r>
            <a:rPr lang="it-IT" sz="1200" b="1" i="0" strike="noStrike">
              <a:solidFill>
                <a:srgbClr val="000000"/>
              </a:solidFill>
              <a:latin typeface="Arial"/>
              <a:cs typeface="Arial"/>
            </a:rPr>
            <a:t>SGGS - SOLUCOES GLOBAIS DE GERACAO SOLAR LTDA</a:t>
          </a:r>
          <a:endParaRPr lang="it-IT" sz="1200" b="1" i="0" strike="noStrike" baseline="0">
            <a:solidFill>
              <a:srgbClr val="000000"/>
            </a:solidFill>
            <a:latin typeface="Arial"/>
            <a:cs typeface="Arial"/>
          </a:endParaRPr>
        </a:p>
        <a:p>
          <a:pPr algn="ctr" rtl="0">
            <a:defRPr sz="1000"/>
          </a:pPr>
          <a:r>
            <a:rPr lang="it-IT" sz="1200" b="1" i="0" strike="noStrike" baseline="0">
              <a:solidFill>
                <a:srgbClr val="000000"/>
              </a:solidFill>
              <a:latin typeface="Arial"/>
              <a:cs typeface="Arial"/>
            </a:rPr>
            <a:t>Brasil</a:t>
          </a:r>
          <a:endParaRPr lang="it-IT" sz="1200" b="1" i="0" strike="noStrike">
            <a:solidFill>
              <a:srgbClr val="000000"/>
            </a:solidFill>
            <a:latin typeface="Arial"/>
            <a:cs typeface="Arial"/>
          </a:endParaRPr>
        </a:p>
      </xdr:txBody>
    </xdr:sp>
    <xdr:clientData/>
  </xdr:twoCellAnchor>
  <xdr:twoCellAnchor>
    <xdr:from>
      <xdr:col>9</xdr:col>
      <xdr:colOff>571500</xdr:colOff>
      <xdr:row>35</xdr:row>
      <xdr:rowOff>38100</xdr:rowOff>
    </xdr:from>
    <xdr:to>
      <xdr:col>10</xdr:col>
      <xdr:colOff>238125</xdr:colOff>
      <xdr:row>36</xdr:row>
      <xdr:rowOff>155575</xdr:rowOff>
    </xdr:to>
    <xdr:pic>
      <xdr:nvPicPr>
        <xdr:cNvPr id="10" name="Picture 26" descr="BRAZ001">
          <a:extLst>
            <a:ext uri="{FF2B5EF4-FFF2-40B4-BE49-F238E27FC236}">
              <a16:creationId xmlns:a16="http://schemas.microsoft.com/office/drawing/2014/main" id="{5E18355C-C477-403F-8560-2D992103611D}"/>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133975" y="5705475"/>
          <a:ext cx="428625" cy="279400"/>
        </a:xfrm>
        <a:prstGeom prst="rect">
          <a:avLst/>
        </a:prstGeom>
        <a:noFill/>
        <a:ln w="9525">
          <a:solidFill>
            <a:srgbClr val="000000"/>
          </a:solidFill>
          <a:miter lim="800000"/>
          <a:headEnd/>
          <a:tailEnd/>
        </a:ln>
      </xdr:spPr>
    </xdr:pic>
    <xdr:clientData/>
  </xdr:twoCellAnchor>
  <xdr:twoCellAnchor>
    <xdr:from>
      <xdr:col>6</xdr:col>
      <xdr:colOff>238124</xdr:colOff>
      <xdr:row>29</xdr:row>
      <xdr:rowOff>142874</xdr:rowOff>
    </xdr:from>
    <xdr:to>
      <xdr:col>7</xdr:col>
      <xdr:colOff>95249</xdr:colOff>
      <xdr:row>33</xdr:row>
      <xdr:rowOff>19049</xdr:rowOff>
    </xdr:to>
    <xdr:sp macro="" textlink="">
      <xdr:nvSpPr>
        <xdr:cNvPr id="13" name="Line 43">
          <a:extLst>
            <a:ext uri="{FF2B5EF4-FFF2-40B4-BE49-F238E27FC236}">
              <a16:creationId xmlns:a16="http://schemas.microsoft.com/office/drawing/2014/main" id="{6399953C-E766-4E27-B8DD-E349D85A28C1}"/>
            </a:ext>
          </a:extLst>
        </xdr:cNvPr>
        <xdr:cNvSpPr>
          <a:spLocks noChangeShapeType="1"/>
        </xdr:cNvSpPr>
      </xdr:nvSpPr>
      <xdr:spPr bwMode="auto">
        <a:xfrm flipH="1" flipV="1">
          <a:off x="2771774" y="4838699"/>
          <a:ext cx="619125" cy="523875"/>
        </a:xfrm>
        <a:prstGeom prst="line">
          <a:avLst/>
        </a:prstGeom>
        <a:noFill/>
        <a:ln w="19050">
          <a:solidFill>
            <a:srgbClr val="000000"/>
          </a:solidFill>
          <a:round/>
          <a:headEnd/>
          <a:tailEnd type="triangle" w="med" len="med"/>
        </a:ln>
      </xdr:spPr>
    </xdr:sp>
    <xdr:clientData/>
  </xdr:twoCellAnchor>
  <xdr:twoCellAnchor>
    <xdr:from>
      <xdr:col>5</xdr:col>
      <xdr:colOff>0</xdr:colOff>
      <xdr:row>6</xdr:row>
      <xdr:rowOff>123825</xdr:rowOff>
    </xdr:from>
    <xdr:to>
      <xdr:col>5</xdr:col>
      <xdr:colOff>0</xdr:colOff>
      <xdr:row>11</xdr:row>
      <xdr:rowOff>152401</xdr:rowOff>
    </xdr:to>
    <xdr:sp macro="" textlink="">
      <xdr:nvSpPr>
        <xdr:cNvPr id="23" name="Line 43">
          <a:extLst>
            <a:ext uri="{FF2B5EF4-FFF2-40B4-BE49-F238E27FC236}">
              <a16:creationId xmlns:a16="http://schemas.microsoft.com/office/drawing/2014/main" id="{21473C25-8CB5-4947-AEE3-0262B397A5DA}"/>
            </a:ext>
          </a:extLst>
        </xdr:cNvPr>
        <xdr:cNvSpPr>
          <a:spLocks noChangeShapeType="1"/>
        </xdr:cNvSpPr>
      </xdr:nvSpPr>
      <xdr:spPr bwMode="auto">
        <a:xfrm flipH="1">
          <a:off x="1885950" y="1095375"/>
          <a:ext cx="0" cy="838201"/>
        </a:xfrm>
        <a:prstGeom prst="line">
          <a:avLst/>
        </a:prstGeom>
        <a:noFill/>
        <a:ln w="19050">
          <a:solidFill>
            <a:srgbClr val="000000"/>
          </a:solidFill>
          <a:round/>
          <a:headEnd/>
          <a:tailEnd type="triangle" w="med" len="me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152400</xdr:colOff>
      <xdr:row>1</xdr:row>
      <xdr:rowOff>19050</xdr:rowOff>
    </xdr:from>
    <xdr:to>
      <xdr:col>18</xdr:col>
      <xdr:colOff>573116</xdr:colOff>
      <xdr:row>34</xdr:row>
      <xdr:rowOff>0</xdr:rowOff>
    </xdr:to>
    <xdr:pic>
      <xdr:nvPicPr>
        <xdr:cNvPr id="2" name="Immagine 1">
          <a:extLst>
            <a:ext uri="{FF2B5EF4-FFF2-40B4-BE49-F238E27FC236}">
              <a16:creationId xmlns:a16="http://schemas.microsoft.com/office/drawing/2014/main" id="{C19E6286-D502-467C-A837-A78020C83F65}"/>
            </a:ext>
          </a:extLst>
        </xdr:cNvPr>
        <xdr:cNvPicPr>
          <a:picLocks noChangeAspect="1"/>
        </xdr:cNvPicPr>
      </xdr:nvPicPr>
      <xdr:blipFill>
        <a:blip xmlns:r="http://schemas.openxmlformats.org/officeDocument/2006/relationships" r:embed="rId1"/>
        <a:stretch>
          <a:fillRect/>
        </a:stretch>
      </xdr:blipFill>
      <xdr:spPr>
        <a:xfrm>
          <a:off x="9391650" y="190500"/>
          <a:ext cx="6230966" cy="5467350"/>
        </a:xfrm>
        <a:prstGeom prst="rect">
          <a:avLst/>
        </a:prstGeom>
        <a:ln w="12700">
          <a:solidFill>
            <a:schemeClr val="tx1"/>
          </a:solidFill>
        </a:ln>
      </xdr:spPr>
    </xdr:pic>
    <xdr:clientData/>
  </xdr:twoCellAnchor>
</xdr:wsDr>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RECLUX@CO.ETAT.LU" TargetMode="External"/><Relationship Id="rId2" Type="http://schemas.openxmlformats.org/officeDocument/2006/relationships/hyperlink" Target="mailto:SOC6@CO.ETAT.LU" TargetMode="External"/><Relationship Id="rId1" Type="http://schemas.openxmlformats.org/officeDocument/2006/relationships/hyperlink" Target="mailto:greenenerbrasone@gmail.com"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Statut%20Coordonn&#233;%20-%20NEW%20LIFE%20S&#224;rl%20B17790.pdf" TargetMode="External"/><Relationship Id="rId2" Type="http://schemas.openxmlformats.org/officeDocument/2006/relationships/hyperlink" Target="mailto:RECLUX@CO.ETAT.LU" TargetMode="External"/><Relationship Id="rId1" Type="http://schemas.openxmlformats.org/officeDocument/2006/relationships/hyperlink" Target="mailto:SOC5@CO.ETAT.LU"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hyperlink" Target="mailto:franco.toscano1111@gmail.com"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franco.toscano1111@gmail.com"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bedenergiasolar.com.br/" TargetMode="External"/><Relationship Id="rId1" Type="http://schemas.openxmlformats.org/officeDocument/2006/relationships/hyperlink" Target="https://www.bedsola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S49"/>
  <sheetViews>
    <sheetView tabSelected="1" workbookViewId="0">
      <selection activeCell="J28" sqref="J28"/>
    </sheetView>
  </sheetViews>
  <sheetFormatPr defaultColWidth="11.42578125" defaultRowHeight="12.75" x14ac:dyDescent="0.2"/>
  <cols>
    <col min="1" max="1" width="5.140625" style="1" customWidth="1"/>
    <col min="2" max="4" width="5" style="1" customWidth="1"/>
    <col min="5" max="5" width="8.140625" style="1" customWidth="1"/>
    <col min="6" max="6" width="9.7109375" style="1" customWidth="1"/>
    <col min="7" max="8" width="11.42578125" style="1" customWidth="1"/>
    <col min="9" max="9" width="7.5703125" style="1" customWidth="1"/>
    <col min="10" max="12" width="11.42578125" style="1" customWidth="1"/>
    <col min="13" max="13" width="12.7109375" style="1" customWidth="1"/>
    <col min="14" max="14" width="5.5703125" style="26" customWidth="1"/>
    <col min="15" max="15" width="15.28515625" style="3" customWidth="1"/>
    <col min="16" max="16" width="11.140625" style="1" customWidth="1"/>
    <col min="17" max="17" width="2.7109375" style="1" customWidth="1"/>
    <col min="18" max="18" width="11.42578125" style="1"/>
    <col min="19" max="19" width="15" style="1" customWidth="1"/>
    <col min="20" max="20" width="11.42578125" style="1"/>
    <col min="21" max="21" width="9.7109375" style="1" customWidth="1"/>
    <col min="22" max="16384" width="11.42578125" style="1"/>
  </cols>
  <sheetData>
    <row r="1" spans="2:19" x14ac:dyDescent="0.2">
      <c r="B1" s="4"/>
    </row>
    <row r="2" spans="2:19" x14ac:dyDescent="0.2">
      <c r="B2" s="19"/>
    </row>
    <row r="3" spans="2:19" x14ac:dyDescent="0.2">
      <c r="J3" s="6"/>
      <c r="K3" s="6"/>
    </row>
    <row r="4" spans="2:19" x14ac:dyDescent="0.2">
      <c r="J4" s="8"/>
      <c r="K4" s="5"/>
    </row>
    <row r="5" spans="2:19" x14ac:dyDescent="0.2">
      <c r="B5" s="6"/>
      <c r="O5" s="96" t="s">
        <v>159</v>
      </c>
      <c r="P5" s="97"/>
      <c r="Q5" s="97"/>
      <c r="R5" s="97"/>
      <c r="S5" s="98"/>
    </row>
    <row r="6" spans="2:19" x14ac:dyDescent="0.2">
      <c r="L6" s="9"/>
      <c r="O6" s="78"/>
      <c r="P6" s="79"/>
      <c r="Q6" s="7"/>
      <c r="R6" s="7"/>
      <c r="S6" s="80"/>
    </row>
    <row r="7" spans="2:19" x14ac:dyDescent="0.2">
      <c r="O7" s="81"/>
      <c r="R7" s="82" t="s">
        <v>5</v>
      </c>
      <c r="S7" s="80"/>
    </row>
    <row r="8" spans="2:19" x14ac:dyDescent="0.2">
      <c r="B8" s="4" t="s">
        <v>5</v>
      </c>
      <c r="F8" s="2" t="s">
        <v>15</v>
      </c>
      <c r="J8" s="4" t="s">
        <v>5</v>
      </c>
      <c r="K8" s="21"/>
      <c r="L8" s="2" t="s">
        <v>3</v>
      </c>
      <c r="O8" s="83">
        <v>1000</v>
      </c>
      <c r="P8" s="23">
        <f>O8/$O$23</f>
        <v>3.8314176245210726E-3</v>
      </c>
      <c r="Q8" s="24"/>
      <c r="R8" s="24" t="s">
        <v>12</v>
      </c>
      <c r="S8" s="84"/>
    </row>
    <row r="9" spans="2:19" x14ac:dyDescent="0.2">
      <c r="B9" s="4" t="s">
        <v>0</v>
      </c>
      <c r="C9" s="11"/>
      <c r="F9" s="29"/>
      <c r="G9" s="19"/>
      <c r="J9" s="75" t="s">
        <v>158</v>
      </c>
      <c r="K9" s="12"/>
      <c r="M9" s="10"/>
      <c r="N9" s="27"/>
      <c r="O9" s="85">
        <f>SUM(O8)</f>
        <v>1000</v>
      </c>
      <c r="P9" s="9">
        <f>SUM(P8)</f>
        <v>3.8314176245210726E-3</v>
      </c>
      <c r="R9" s="7"/>
      <c r="S9" s="80"/>
    </row>
    <row r="10" spans="2:19" x14ac:dyDescent="0.2">
      <c r="B10" s="75" t="s">
        <v>22</v>
      </c>
      <c r="C10" s="13"/>
      <c r="D10" s="13"/>
      <c r="E10" s="77" t="s">
        <v>24</v>
      </c>
      <c r="M10" s="10"/>
      <c r="N10" s="27"/>
      <c r="O10" s="86"/>
      <c r="P10" s="79"/>
      <c r="Q10" s="7"/>
      <c r="R10" s="82" t="s">
        <v>11</v>
      </c>
      <c r="S10" s="80"/>
    </row>
    <row r="11" spans="2:19" x14ac:dyDescent="0.2">
      <c r="B11" s="4"/>
      <c r="C11" s="14"/>
      <c r="D11" s="14"/>
      <c r="E11" s="14"/>
      <c r="F11" s="14"/>
      <c r="G11" s="7"/>
      <c r="H11" s="7"/>
      <c r="I11" s="7"/>
      <c r="J11" s="5"/>
      <c r="K11" s="8"/>
      <c r="L11" s="14"/>
      <c r="O11" s="87">
        <v>20000</v>
      </c>
      <c r="P11" s="79">
        <f>O11/$O$23</f>
        <v>7.662835249042145E-2</v>
      </c>
      <c r="Q11" s="7"/>
      <c r="R11" s="7" t="s">
        <v>18</v>
      </c>
      <c r="S11" s="88"/>
    </row>
    <row r="12" spans="2:19" x14ac:dyDescent="0.2">
      <c r="L12" s="14"/>
      <c r="O12" s="87">
        <v>20000</v>
      </c>
      <c r="P12" s="79">
        <f t="shared" ref="P12:P20" si="0">O12/$O$23</f>
        <v>7.662835249042145E-2</v>
      </c>
      <c r="Q12" s="7"/>
      <c r="R12" s="7" t="s">
        <v>19</v>
      </c>
      <c r="S12" s="88"/>
    </row>
    <row r="13" spans="2:19" x14ac:dyDescent="0.2">
      <c r="J13" s="4"/>
      <c r="L13" s="14"/>
      <c r="O13" s="87">
        <v>20000</v>
      </c>
      <c r="P13" s="79">
        <f t="shared" si="0"/>
        <v>7.662835249042145E-2</v>
      </c>
      <c r="Q13" s="7"/>
      <c r="R13" s="7" t="s">
        <v>9</v>
      </c>
      <c r="S13" s="80"/>
    </row>
    <row r="14" spans="2:19" x14ac:dyDescent="0.2">
      <c r="J14" s="20"/>
      <c r="L14" s="15"/>
      <c r="M14" s="7"/>
      <c r="N14" s="27"/>
      <c r="O14" s="87">
        <v>20000</v>
      </c>
      <c r="P14" s="79">
        <f t="shared" si="0"/>
        <v>7.662835249042145E-2</v>
      </c>
      <c r="Q14" s="7"/>
      <c r="R14" s="7" t="s">
        <v>8</v>
      </c>
      <c r="S14" s="80"/>
    </row>
    <row r="15" spans="2:19" x14ac:dyDescent="0.2">
      <c r="I15" s="11"/>
      <c r="L15" s="15"/>
      <c r="M15" s="7"/>
      <c r="N15" s="27"/>
      <c r="O15" s="87">
        <v>40000</v>
      </c>
      <c r="P15" s="79">
        <f t="shared" si="0"/>
        <v>0.1532567049808429</v>
      </c>
      <c r="Q15" s="7"/>
      <c r="R15" s="7" t="s">
        <v>7</v>
      </c>
      <c r="S15" s="80"/>
    </row>
    <row r="16" spans="2:19" x14ac:dyDescent="0.2">
      <c r="O16" s="87">
        <v>40000</v>
      </c>
      <c r="P16" s="79">
        <f t="shared" si="0"/>
        <v>0.1532567049808429</v>
      </c>
      <c r="Q16" s="7"/>
      <c r="R16" s="7" t="s">
        <v>6</v>
      </c>
      <c r="S16" s="80"/>
    </row>
    <row r="17" spans="2:19" x14ac:dyDescent="0.2">
      <c r="B17" s="6"/>
      <c r="O17" s="87">
        <v>20000</v>
      </c>
      <c r="P17" s="79">
        <f t="shared" si="0"/>
        <v>7.662835249042145E-2</v>
      </c>
      <c r="Q17" s="7"/>
      <c r="R17" s="7" t="s">
        <v>20</v>
      </c>
      <c r="S17" s="80"/>
    </row>
    <row r="18" spans="2:19" x14ac:dyDescent="0.2">
      <c r="B18" s="4" t="s">
        <v>1</v>
      </c>
      <c r="F18" s="2" t="s">
        <v>14</v>
      </c>
      <c r="J18" s="4" t="s">
        <v>4</v>
      </c>
      <c r="K18" s="2"/>
      <c r="L18" s="2" t="s">
        <v>16</v>
      </c>
      <c r="O18" s="87">
        <v>20000</v>
      </c>
      <c r="P18" s="79">
        <f t="shared" si="0"/>
        <v>7.662835249042145E-2</v>
      </c>
      <c r="Q18" s="7"/>
      <c r="R18" s="7" t="s">
        <v>21</v>
      </c>
      <c r="S18" s="80"/>
    </row>
    <row r="19" spans="2:19" x14ac:dyDescent="0.2">
      <c r="B19" s="75" t="s">
        <v>157</v>
      </c>
      <c r="F19" s="2"/>
      <c r="I19" s="19"/>
      <c r="J19" s="75" t="s">
        <v>23</v>
      </c>
      <c r="K19" s="76">
        <v>0.99781732000000001</v>
      </c>
      <c r="L19" s="29"/>
      <c r="O19" s="87">
        <v>40000</v>
      </c>
      <c r="P19" s="79">
        <f t="shared" si="0"/>
        <v>0.1532567049808429</v>
      </c>
      <c r="Q19" s="7"/>
      <c r="R19" s="7" t="s">
        <v>10</v>
      </c>
      <c r="S19" s="88"/>
    </row>
    <row r="20" spans="2:19" x14ac:dyDescent="0.2">
      <c r="B20" s="6"/>
      <c r="I20" s="22"/>
      <c r="O20" s="83">
        <v>20000</v>
      </c>
      <c r="P20" s="23">
        <f t="shared" si="0"/>
        <v>7.662835249042145E-2</v>
      </c>
      <c r="Q20" s="24"/>
      <c r="R20" s="24" t="s">
        <v>140</v>
      </c>
      <c r="S20" s="89"/>
    </row>
    <row r="21" spans="2:19" x14ac:dyDescent="0.2">
      <c r="J21" s="17"/>
      <c r="O21" s="85">
        <f>SUM(O11:O20)</f>
        <v>260000</v>
      </c>
      <c r="P21" s="9">
        <f>SUM(P11:P20)</f>
        <v>0.99616858237547878</v>
      </c>
      <c r="S21" s="88"/>
    </row>
    <row r="22" spans="2:19" x14ac:dyDescent="0.2">
      <c r="O22" s="90"/>
      <c r="P22" s="24"/>
      <c r="Q22" s="24"/>
      <c r="R22" s="25"/>
      <c r="S22" s="84"/>
    </row>
    <row r="23" spans="2:19" x14ac:dyDescent="0.2">
      <c r="O23" s="91">
        <f>O9+O21</f>
        <v>261000</v>
      </c>
      <c r="P23" s="92">
        <f>P9+P21</f>
        <v>0.99999999999999989</v>
      </c>
      <c r="Q23" s="25"/>
      <c r="R23" s="25"/>
      <c r="S23" s="84"/>
    </row>
    <row r="24" spans="2:19" x14ac:dyDescent="0.2">
      <c r="I24" s="22"/>
    </row>
    <row r="26" spans="2:19" x14ac:dyDescent="0.2">
      <c r="G26" s="6"/>
      <c r="H26" s="6"/>
      <c r="J26" s="5"/>
      <c r="K26" s="2"/>
      <c r="L26" s="2"/>
      <c r="O26" s="28"/>
    </row>
    <row r="27" spans="2:19" x14ac:dyDescent="0.2">
      <c r="G27" s="6"/>
      <c r="H27" s="6"/>
      <c r="I27" s="11"/>
      <c r="L27" s="2"/>
      <c r="O27" s="16"/>
      <c r="P27" s="7"/>
      <c r="Q27" s="7"/>
    </row>
    <row r="28" spans="2:19" x14ac:dyDescent="0.2">
      <c r="G28" s="6"/>
      <c r="H28" s="6"/>
      <c r="I28" s="11"/>
      <c r="L28" s="2"/>
      <c r="O28" s="16"/>
      <c r="P28" s="7"/>
      <c r="Q28" s="7"/>
    </row>
    <row r="29" spans="2:19" x14ac:dyDescent="0.2">
      <c r="D29" s="7" t="s">
        <v>25</v>
      </c>
      <c r="G29" s="7" t="s">
        <v>181</v>
      </c>
      <c r="I29" s="7"/>
      <c r="K29" s="7"/>
      <c r="O29" s="7"/>
      <c r="P29" s="7"/>
      <c r="Q29" s="7"/>
    </row>
    <row r="30" spans="2:19" x14ac:dyDescent="0.2">
      <c r="J30" s="2"/>
      <c r="O30" s="7"/>
    </row>
    <row r="31" spans="2:19" x14ac:dyDescent="0.2">
      <c r="G31" s="6"/>
      <c r="J31" s="2"/>
      <c r="K31" s="11"/>
      <c r="O31" s="7"/>
    </row>
    <row r="32" spans="2:19" x14ac:dyDescent="0.2">
      <c r="G32" s="6"/>
      <c r="J32" s="2"/>
      <c r="L32" s="7"/>
    </row>
    <row r="33" spans="2:18" x14ac:dyDescent="0.2">
      <c r="L33" s="7"/>
      <c r="M33" s="11"/>
      <c r="N33" s="19"/>
      <c r="O33" s="18"/>
    </row>
    <row r="35" spans="2:18" x14ac:dyDescent="0.2">
      <c r="O35" s="18"/>
    </row>
    <row r="36" spans="2:18" x14ac:dyDescent="0.2">
      <c r="L36" s="7"/>
      <c r="O36" s="18"/>
    </row>
    <row r="37" spans="2:18" x14ac:dyDescent="0.2">
      <c r="L37" s="7"/>
    </row>
    <row r="38" spans="2:18" x14ac:dyDescent="0.2">
      <c r="E38" s="2" t="s">
        <v>17</v>
      </c>
      <c r="I38" s="2" t="s">
        <v>175</v>
      </c>
    </row>
    <row r="39" spans="2:18" x14ac:dyDescent="0.2">
      <c r="B39" s="4" t="s">
        <v>13</v>
      </c>
      <c r="H39" s="4" t="s">
        <v>174</v>
      </c>
      <c r="O39" s="18"/>
    </row>
    <row r="40" spans="2:18" x14ac:dyDescent="0.2">
      <c r="R40" s="1" t="s">
        <v>2</v>
      </c>
    </row>
    <row r="42" spans="2:18" x14ac:dyDescent="0.2">
      <c r="O42" s="18"/>
    </row>
    <row r="45" spans="2:18" x14ac:dyDescent="0.2">
      <c r="O45" s="18"/>
    </row>
    <row r="47" spans="2:18" x14ac:dyDescent="0.2">
      <c r="O47" s="18"/>
    </row>
    <row r="49" spans="15:16" x14ac:dyDescent="0.2">
      <c r="O49" s="18"/>
      <c r="P49" s="2"/>
    </row>
  </sheetData>
  <mergeCells count="1">
    <mergeCell ref="O5:S5"/>
  </mergeCells>
  <pageMargins left="0.25" right="0.25" top="0.75" bottom="0.75" header="0.3" footer="0.3"/>
  <pageSetup paperSize="9" scale="82"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F76C2-2AB2-4FBD-BF81-BFD336C48E54}">
  <dimension ref="B1:K84"/>
  <sheetViews>
    <sheetView topLeftCell="A12" workbookViewId="0">
      <selection activeCell="I30" sqref="I30"/>
    </sheetView>
  </sheetViews>
  <sheetFormatPr defaultColWidth="8.7109375" defaultRowHeight="12.75" x14ac:dyDescent="0.2"/>
  <cols>
    <col min="1" max="1" width="3.28515625" style="31" customWidth="1"/>
    <col min="2" max="2" width="26.5703125" style="30" customWidth="1"/>
    <col min="3" max="3" width="2.7109375" style="31" customWidth="1"/>
    <col min="4" max="4" width="76.140625" style="30" customWidth="1"/>
    <col min="5" max="5" width="10.28515625" style="31" customWidth="1"/>
    <col min="6" max="6" width="15.28515625" style="31" customWidth="1"/>
    <col min="7" max="7" width="2.5703125" style="31" customWidth="1"/>
    <col min="8" max="16384" width="8.7109375" style="31"/>
  </cols>
  <sheetData>
    <row r="1" spans="2:7" ht="13.5" thickBot="1" x14ac:dyDescent="0.25"/>
    <row r="2" spans="2:7" ht="24" thickBot="1" x14ac:dyDescent="0.4">
      <c r="B2" s="32" t="s">
        <v>26</v>
      </c>
      <c r="C2" s="33"/>
      <c r="D2" s="34" t="s">
        <v>27</v>
      </c>
      <c r="E2" s="33"/>
      <c r="F2" s="33"/>
      <c r="G2" s="35"/>
    </row>
    <row r="3" spans="2:7" x14ac:dyDescent="0.2">
      <c r="B3" s="36"/>
      <c r="G3" s="37"/>
    </row>
    <row r="4" spans="2:7" x14ac:dyDescent="0.2">
      <c r="B4" s="36" t="s">
        <v>28</v>
      </c>
      <c r="D4" s="30" t="s">
        <v>27</v>
      </c>
      <c r="G4" s="37"/>
    </row>
    <row r="5" spans="2:7" x14ac:dyDescent="0.2">
      <c r="B5" s="36" t="s">
        <v>35</v>
      </c>
      <c r="D5" s="38" t="s">
        <v>36</v>
      </c>
      <c r="G5" s="37"/>
    </row>
    <row r="6" spans="2:7" x14ac:dyDescent="0.2">
      <c r="B6" s="36"/>
      <c r="D6" s="38" t="s">
        <v>37</v>
      </c>
      <c r="G6" s="37"/>
    </row>
    <row r="7" spans="2:7" x14ac:dyDescent="0.2">
      <c r="B7" s="36"/>
      <c r="D7" s="38" t="s">
        <v>43</v>
      </c>
      <c r="G7" s="37"/>
    </row>
    <row r="8" spans="2:7" x14ac:dyDescent="0.2">
      <c r="B8" s="36"/>
      <c r="D8" s="38"/>
      <c r="G8" s="37"/>
    </row>
    <row r="9" spans="2:7" x14ac:dyDescent="0.2">
      <c r="B9" s="36" t="s">
        <v>29</v>
      </c>
      <c r="D9" s="38">
        <v>45736</v>
      </c>
      <c r="G9" s="37"/>
    </row>
    <row r="10" spans="2:7" x14ac:dyDescent="0.2">
      <c r="B10" s="36" t="s">
        <v>30</v>
      </c>
      <c r="D10" s="38">
        <v>45748</v>
      </c>
      <c r="G10" s="37"/>
    </row>
    <row r="11" spans="2:7" x14ac:dyDescent="0.2">
      <c r="B11" s="36"/>
      <c r="D11" s="38"/>
      <c r="G11" s="37"/>
    </row>
    <row r="12" spans="2:7" x14ac:dyDescent="0.2">
      <c r="B12" s="36" t="s">
        <v>31</v>
      </c>
      <c r="D12" s="30" t="s">
        <v>160</v>
      </c>
      <c r="G12" s="37"/>
    </row>
    <row r="13" spans="2:7" x14ac:dyDescent="0.2">
      <c r="B13" s="36"/>
      <c r="G13" s="37"/>
    </row>
    <row r="14" spans="2:7" x14ac:dyDescent="0.2">
      <c r="B14" s="36" t="s">
        <v>38</v>
      </c>
      <c r="D14" s="38" t="s">
        <v>39</v>
      </c>
      <c r="G14" s="37"/>
    </row>
    <row r="15" spans="2:7" x14ac:dyDescent="0.2">
      <c r="B15" s="36"/>
      <c r="D15" s="38"/>
      <c r="G15" s="37"/>
    </row>
    <row r="16" spans="2:7" ht="211.5" customHeight="1" x14ac:dyDescent="0.2">
      <c r="B16" s="39" t="s">
        <v>33</v>
      </c>
      <c r="D16" s="40" t="s">
        <v>34</v>
      </c>
      <c r="G16" s="37"/>
    </row>
    <row r="17" spans="2:11" x14ac:dyDescent="0.2">
      <c r="B17" s="36"/>
      <c r="D17" s="38"/>
      <c r="G17" s="37"/>
    </row>
    <row r="18" spans="2:11" x14ac:dyDescent="0.2">
      <c r="B18" s="36" t="s">
        <v>40</v>
      </c>
      <c r="D18" s="41">
        <f>F36</f>
        <v>261000</v>
      </c>
      <c r="G18" s="37"/>
    </row>
    <row r="19" spans="2:11" x14ac:dyDescent="0.2">
      <c r="B19" s="36"/>
      <c r="G19" s="37"/>
    </row>
    <row r="20" spans="2:11" x14ac:dyDescent="0.2">
      <c r="B20" s="36" t="s">
        <v>41</v>
      </c>
      <c r="D20" s="30" t="s">
        <v>12</v>
      </c>
      <c r="E20" s="42">
        <f>F20/$F$36</f>
        <v>3.8314176245210726E-3</v>
      </c>
      <c r="F20" s="43">
        <v>1000</v>
      </c>
      <c r="G20" s="37"/>
    </row>
    <row r="21" spans="2:11" x14ac:dyDescent="0.2">
      <c r="B21" s="36" t="s">
        <v>42</v>
      </c>
      <c r="D21" s="30" t="s">
        <v>36</v>
      </c>
      <c r="F21" s="43"/>
      <c r="G21" s="37"/>
    </row>
    <row r="22" spans="2:11" x14ac:dyDescent="0.2">
      <c r="B22" s="36"/>
      <c r="D22" s="30" t="s">
        <v>37</v>
      </c>
      <c r="F22" s="43"/>
      <c r="G22" s="37"/>
    </row>
    <row r="23" spans="2:11" x14ac:dyDescent="0.2">
      <c r="B23" s="36"/>
      <c r="D23" s="30" t="s">
        <v>43</v>
      </c>
      <c r="F23" s="43"/>
      <c r="G23" s="37"/>
    </row>
    <row r="24" spans="2:11" ht="15.75" x14ac:dyDescent="0.25">
      <c r="B24" s="36"/>
      <c r="F24" s="43"/>
      <c r="G24" s="37"/>
      <c r="K24" s="70"/>
    </row>
    <row r="25" spans="2:11" ht="15.75" x14ac:dyDescent="0.25">
      <c r="B25" s="36" t="s">
        <v>44</v>
      </c>
      <c r="D25" s="30" t="s">
        <v>7</v>
      </c>
      <c r="E25" s="42">
        <f t="shared" ref="E25:E34" si="0">F25/$F$36</f>
        <v>0.1532567049808429</v>
      </c>
      <c r="F25" s="43">
        <v>40000</v>
      </c>
      <c r="G25" s="37"/>
      <c r="K25" s="70"/>
    </row>
    <row r="26" spans="2:11" ht="15.75" x14ac:dyDescent="0.25">
      <c r="B26" s="36" t="s">
        <v>45</v>
      </c>
      <c r="D26" s="30" t="s">
        <v>8</v>
      </c>
      <c r="E26" s="42">
        <f t="shared" si="0"/>
        <v>7.662835249042145E-2</v>
      </c>
      <c r="F26" s="43">
        <v>20000</v>
      </c>
      <c r="G26" s="37"/>
      <c r="K26" s="70"/>
    </row>
    <row r="27" spans="2:11" ht="15.75" x14ac:dyDescent="0.25">
      <c r="B27" s="36" t="s">
        <v>45</v>
      </c>
      <c r="D27" s="30" t="s">
        <v>9</v>
      </c>
      <c r="E27" s="42">
        <f t="shared" ref="E27" si="1">F27/$F$36</f>
        <v>7.662835249042145E-2</v>
      </c>
      <c r="F27" s="43">
        <v>20000</v>
      </c>
      <c r="G27" s="37"/>
      <c r="K27" s="70"/>
    </row>
    <row r="28" spans="2:11" ht="15.75" x14ac:dyDescent="0.25">
      <c r="B28" s="36" t="s">
        <v>45</v>
      </c>
      <c r="D28" s="30" t="s">
        <v>19</v>
      </c>
      <c r="E28" s="42">
        <f t="shared" si="0"/>
        <v>7.662835249042145E-2</v>
      </c>
      <c r="F28" s="43">
        <v>20000</v>
      </c>
      <c r="G28" s="37"/>
      <c r="K28" s="70"/>
    </row>
    <row r="29" spans="2:11" ht="15.75" x14ac:dyDescent="0.25">
      <c r="B29" s="36" t="s">
        <v>45</v>
      </c>
      <c r="D29" s="30" t="s">
        <v>18</v>
      </c>
      <c r="E29" s="42">
        <f t="shared" ref="E29" si="2">F29/$F$36</f>
        <v>7.662835249042145E-2</v>
      </c>
      <c r="F29" s="43">
        <v>20000</v>
      </c>
      <c r="G29" s="37"/>
      <c r="K29" s="70"/>
    </row>
    <row r="30" spans="2:11" ht="15.75" x14ac:dyDescent="0.25">
      <c r="B30" s="36" t="s">
        <v>45</v>
      </c>
      <c r="D30" s="30" t="s">
        <v>6</v>
      </c>
      <c r="E30" s="42">
        <f t="shared" si="0"/>
        <v>0.1532567049808429</v>
      </c>
      <c r="F30" s="43">
        <v>40000</v>
      </c>
      <c r="G30" s="37"/>
      <c r="K30" s="70"/>
    </row>
    <row r="31" spans="2:11" ht="15.75" x14ac:dyDescent="0.25">
      <c r="B31" s="36" t="s">
        <v>45</v>
      </c>
      <c r="D31" s="30" t="s">
        <v>20</v>
      </c>
      <c r="E31" s="42">
        <f t="shared" ref="E31:E33" si="3">F31/$F$36</f>
        <v>7.662835249042145E-2</v>
      </c>
      <c r="F31" s="43">
        <v>20000</v>
      </c>
      <c r="G31" s="37"/>
      <c r="K31" s="70"/>
    </row>
    <row r="32" spans="2:11" ht="15.75" x14ac:dyDescent="0.25">
      <c r="B32" s="36" t="s">
        <v>45</v>
      </c>
      <c r="D32" s="30" t="s">
        <v>21</v>
      </c>
      <c r="E32" s="42">
        <f t="shared" ref="E32" si="4">F32/$F$36</f>
        <v>7.662835249042145E-2</v>
      </c>
      <c r="F32" s="43">
        <v>20000</v>
      </c>
      <c r="G32" s="37"/>
      <c r="K32" s="70"/>
    </row>
    <row r="33" spans="2:11" ht="15.75" x14ac:dyDescent="0.25">
      <c r="B33" s="36" t="s">
        <v>45</v>
      </c>
      <c r="D33" s="30" t="s">
        <v>10</v>
      </c>
      <c r="E33" s="42">
        <f t="shared" si="3"/>
        <v>0.1532567049808429</v>
      </c>
      <c r="F33" s="43">
        <v>40000</v>
      </c>
      <c r="G33" s="71"/>
      <c r="H33" s="72"/>
      <c r="K33" s="70"/>
    </row>
    <row r="34" spans="2:11" ht="15.75" x14ac:dyDescent="0.25">
      <c r="B34" s="36" t="s">
        <v>45</v>
      </c>
      <c r="D34" s="30" t="s">
        <v>140</v>
      </c>
      <c r="E34" s="42">
        <f t="shared" si="0"/>
        <v>7.662835249042145E-2</v>
      </c>
      <c r="F34" s="43">
        <v>20000</v>
      </c>
      <c r="G34" s="71"/>
      <c r="H34" s="72"/>
      <c r="K34" s="70"/>
    </row>
    <row r="35" spans="2:11" ht="15.75" x14ac:dyDescent="0.25">
      <c r="B35" s="36"/>
      <c r="E35" s="44"/>
      <c r="F35" s="45"/>
      <c r="G35" s="37"/>
      <c r="K35" s="70"/>
    </row>
    <row r="36" spans="2:11" ht="15.75" x14ac:dyDescent="0.25">
      <c r="B36" s="36"/>
      <c r="E36" s="42">
        <f>SUM(E18:E35)</f>
        <v>0.99999999999999978</v>
      </c>
      <c r="F36" s="43">
        <f>SUM(F19:F35)</f>
        <v>261000</v>
      </c>
      <c r="G36" s="37"/>
      <c r="K36" s="70"/>
    </row>
    <row r="37" spans="2:11" ht="15.75" x14ac:dyDescent="0.25">
      <c r="B37" s="46"/>
      <c r="C37" s="44"/>
      <c r="D37" s="47"/>
      <c r="E37" s="44"/>
      <c r="F37" s="48"/>
      <c r="G37" s="49"/>
      <c r="K37" s="70"/>
    </row>
    <row r="38" spans="2:11" ht="15.75" x14ac:dyDescent="0.25">
      <c r="K38" s="70"/>
    </row>
    <row r="39" spans="2:11" ht="23.25" x14ac:dyDescent="0.35">
      <c r="B39" s="50"/>
      <c r="C39" s="33"/>
      <c r="D39" s="51" t="s">
        <v>46</v>
      </c>
      <c r="E39" s="33"/>
      <c r="F39" s="33"/>
      <c r="G39" s="35"/>
      <c r="K39" s="70"/>
    </row>
    <row r="40" spans="2:11" ht="15.75" x14ac:dyDescent="0.25">
      <c r="B40" s="36"/>
      <c r="G40" s="37"/>
      <c r="K40" s="70"/>
    </row>
    <row r="41" spans="2:11" x14ac:dyDescent="0.2">
      <c r="B41" s="36" t="s">
        <v>47</v>
      </c>
      <c r="D41" s="30" t="s">
        <v>27</v>
      </c>
      <c r="G41" s="37"/>
    </row>
    <row r="42" spans="2:11" x14ac:dyDescent="0.2">
      <c r="B42" s="36"/>
      <c r="G42" s="37"/>
    </row>
    <row r="43" spans="2:11" x14ac:dyDescent="0.2">
      <c r="B43" s="36" t="s">
        <v>48</v>
      </c>
      <c r="D43" s="30" t="s">
        <v>49</v>
      </c>
      <c r="G43" s="37"/>
    </row>
    <row r="44" spans="2:11" x14ac:dyDescent="0.2">
      <c r="B44" s="36" t="s">
        <v>161</v>
      </c>
      <c r="D44" s="30" t="s">
        <v>162</v>
      </c>
      <c r="G44" s="37"/>
    </row>
    <row r="45" spans="2:11" x14ac:dyDescent="0.2">
      <c r="B45" s="36"/>
      <c r="G45" s="37"/>
    </row>
    <row r="46" spans="2:11" x14ac:dyDescent="0.2">
      <c r="B46" s="36" t="s">
        <v>50</v>
      </c>
      <c r="D46" s="30" t="s">
        <v>51</v>
      </c>
      <c r="G46" s="37"/>
    </row>
    <row r="47" spans="2:11" x14ac:dyDescent="0.2">
      <c r="B47" s="36"/>
      <c r="D47" s="30" t="s">
        <v>52</v>
      </c>
      <c r="G47" s="37"/>
    </row>
    <row r="48" spans="2:11" x14ac:dyDescent="0.2">
      <c r="B48" s="36"/>
      <c r="D48" s="30" t="s">
        <v>53</v>
      </c>
      <c r="G48" s="37"/>
    </row>
    <row r="49" spans="2:7" x14ac:dyDescent="0.2">
      <c r="B49" s="36"/>
      <c r="D49" s="52" t="s">
        <v>54</v>
      </c>
      <c r="G49" s="37"/>
    </row>
    <row r="50" spans="2:7" x14ac:dyDescent="0.2">
      <c r="B50" s="36"/>
      <c r="G50" s="37"/>
    </row>
    <row r="51" spans="2:7" x14ac:dyDescent="0.2">
      <c r="B51" s="36" t="s">
        <v>55</v>
      </c>
      <c r="D51" s="30" t="s">
        <v>26</v>
      </c>
      <c r="G51" s="37"/>
    </row>
    <row r="52" spans="2:7" x14ac:dyDescent="0.2">
      <c r="B52" s="36"/>
      <c r="D52" s="30" t="s">
        <v>56</v>
      </c>
      <c r="G52" s="37"/>
    </row>
    <row r="53" spans="2:7" x14ac:dyDescent="0.2">
      <c r="B53" s="36"/>
      <c r="D53" s="30" t="s">
        <v>53</v>
      </c>
      <c r="G53" s="37"/>
    </row>
    <row r="54" spans="2:7" x14ac:dyDescent="0.2">
      <c r="B54" s="36"/>
      <c r="D54" s="52" t="s">
        <v>57</v>
      </c>
      <c r="G54" s="37"/>
    </row>
    <row r="55" spans="2:7" x14ac:dyDescent="0.2">
      <c r="B55" s="46"/>
      <c r="C55" s="44"/>
      <c r="D55" s="47"/>
      <c r="E55" s="44"/>
      <c r="F55" s="44"/>
      <c r="G55" s="49"/>
    </row>
    <row r="57" spans="2:7" ht="26.25" x14ac:dyDescent="0.4">
      <c r="B57" s="50"/>
      <c r="C57" s="33"/>
      <c r="D57" s="53" t="s">
        <v>58</v>
      </c>
      <c r="E57" s="33"/>
      <c r="F57" s="33"/>
      <c r="G57" s="35"/>
    </row>
    <row r="58" spans="2:7" x14ac:dyDescent="0.2">
      <c r="B58" s="36"/>
      <c r="G58" s="37"/>
    </row>
    <row r="59" spans="2:7" x14ac:dyDescent="0.2">
      <c r="B59" s="36" t="s">
        <v>47</v>
      </c>
      <c r="D59" s="30" t="s">
        <v>27</v>
      </c>
      <c r="G59" s="37"/>
    </row>
    <row r="60" spans="2:7" x14ac:dyDescent="0.2">
      <c r="B60" s="36"/>
      <c r="G60" s="37"/>
    </row>
    <row r="61" spans="2:7" x14ac:dyDescent="0.2">
      <c r="B61" s="36" t="s">
        <v>59</v>
      </c>
      <c r="D61" s="30" t="s">
        <v>32</v>
      </c>
      <c r="F61" s="54"/>
      <c r="G61" s="37"/>
    </row>
    <row r="62" spans="2:7" x14ac:dyDescent="0.2">
      <c r="B62" s="36"/>
      <c r="D62" s="55"/>
      <c r="F62" s="54"/>
      <c r="G62" s="37"/>
    </row>
    <row r="63" spans="2:7" x14ac:dyDescent="0.2">
      <c r="B63" s="36" t="s">
        <v>60</v>
      </c>
      <c r="D63" s="30" t="s">
        <v>155</v>
      </c>
      <c r="E63" s="42"/>
      <c r="F63" s="56"/>
      <c r="G63" s="37"/>
    </row>
    <row r="64" spans="2:7" x14ac:dyDescent="0.2">
      <c r="B64" s="36"/>
      <c r="D64" s="30" t="s">
        <v>36</v>
      </c>
      <c r="F64" s="56"/>
      <c r="G64" s="37"/>
    </row>
    <row r="65" spans="2:7" x14ac:dyDescent="0.2">
      <c r="B65" s="36"/>
      <c r="D65" s="30" t="s">
        <v>61</v>
      </c>
      <c r="F65" s="56"/>
      <c r="G65" s="37"/>
    </row>
    <row r="66" spans="2:7" x14ac:dyDescent="0.2">
      <c r="B66" s="36"/>
      <c r="D66" s="55" t="s">
        <v>141</v>
      </c>
      <c r="F66" s="54"/>
      <c r="G66" s="37"/>
    </row>
    <row r="67" spans="2:7" x14ac:dyDescent="0.2">
      <c r="B67" s="36"/>
      <c r="F67" s="54"/>
      <c r="G67" s="37"/>
    </row>
    <row r="68" spans="2:7" x14ac:dyDescent="0.2">
      <c r="B68" s="36"/>
      <c r="D68" s="30" t="s">
        <v>156</v>
      </c>
      <c r="E68" s="42"/>
      <c r="F68" s="54"/>
      <c r="G68" s="37"/>
    </row>
    <row r="69" spans="2:7" x14ac:dyDescent="0.2">
      <c r="B69" s="36"/>
      <c r="D69" s="30" t="s">
        <v>36</v>
      </c>
      <c r="F69" s="54"/>
      <c r="G69" s="37"/>
    </row>
    <row r="70" spans="2:7" x14ac:dyDescent="0.2">
      <c r="B70" s="36"/>
      <c r="D70" s="30" t="s">
        <v>61</v>
      </c>
      <c r="F70" s="54"/>
      <c r="G70" s="37"/>
    </row>
    <row r="71" spans="2:7" x14ac:dyDescent="0.2">
      <c r="B71" s="36"/>
      <c r="D71" s="55" t="s">
        <v>154</v>
      </c>
      <c r="F71" s="54"/>
      <c r="G71" s="37"/>
    </row>
    <row r="72" spans="2:7" x14ac:dyDescent="0.2">
      <c r="B72" s="46"/>
      <c r="C72" s="44"/>
      <c r="D72" s="47"/>
      <c r="E72" s="44"/>
      <c r="F72" s="44"/>
      <c r="G72" s="49"/>
    </row>
    <row r="74" spans="2:7" ht="23.25" x14ac:dyDescent="0.35">
      <c r="B74" s="50"/>
      <c r="C74" s="33"/>
      <c r="D74" s="51" t="s">
        <v>62</v>
      </c>
      <c r="E74" s="33"/>
      <c r="F74" s="33"/>
      <c r="G74" s="35"/>
    </row>
    <row r="75" spans="2:7" x14ac:dyDescent="0.2">
      <c r="B75" s="36"/>
      <c r="G75" s="37"/>
    </row>
    <row r="76" spans="2:7" x14ac:dyDescent="0.2">
      <c r="B76" s="36" t="s">
        <v>47</v>
      </c>
      <c r="D76" s="30" t="s">
        <v>27</v>
      </c>
      <c r="G76" s="37"/>
    </row>
    <row r="77" spans="2:7" x14ac:dyDescent="0.2">
      <c r="B77" s="36"/>
      <c r="D77" s="30" t="s">
        <v>36</v>
      </c>
      <c r="G77" s="37"/>
    </row>
    <row r="78" spans="2:7" x14ac:dyDescent="0.2">
      <c r="B78" s="36"/>
      <c r="D78" s="30" t="s">
        <v>61</v>
      </c>
      <c r="G78" s="37"/>
    </row>
    <row r="79" spans="2:7" x14ac:dyDescent="0.2">
      <c r="B79" s="36"/>
      <c r="G79" s="37"/>
    </row>
    <row r="80" spans="2:7" x14ac:dyDescent="0.2">
      <c r="B80" s="36" t="s">
        <v>63</v>
      </c>
      <c r="D80" s="30" t="s">
        <v>64</v>
      </c>
      <c r="G80" s="37"/>
    </row>
    <row r="81" spans="2:7" x14ac:dyDescent="0.2">
      <c r="B81" s="36" t="s">
        <v>65</v>
      </c>
      <c r="D81" s="30" t="s">
        <v>66</v>
      </c>
      <c r="G81" s="37"/>
    </row>
    <row r="82" spans="2:7" x14ac:dyDescent="0.2">
      <c r="B82" s="36"/>
      <c r="G82" s="37"/>
    </row>
    <row r="83" spans="2:7" x14ac:dyDescent="0.2">
      <c r="B83" s="36" t="s">
        <v>67</v>
      </c>
      <c r="D83" s="30" t="s">
        <v>68</v>
      </c>
      <c r="G83" s="37"/>
    </row>
    <row r="84" spans="2:7" x14ac:dyDescent="0.2">
      <c r="B84" s="46"/>
      <c r="C84" s="44"/>
      <c r="D84" s="47"/>
      <c r="E84" s="44"/>
      <c r="F84" s="44"/>
      <c r="G84" s="49"/>
    </row>
  </sheetData>
  <hyperlinks>
    <hyperlink ref="D14" r:id="rId1" xr:uid="{B6ED5131-C9D6-4265-9D4B-840B06F428D9}"/>
    <hyperlink ref="D49" r:id="rId2" xr:uid="{6D679ED6-6104-4323-9974-A6D9B4B99DF1}"/>
    <hyperlink ref="D54" r:id="rId3" xr:uid="{C3E6F691-746C-45E0-911C-D1E0D4B9BAB0}"/>
  </hyperlinks>
  <pageMargins left="0.25" right="0.25" top="0.75" bottom="0.75" header="0.3" footer="0.3"/>
  <pageSetup paperSize="9" scale="75"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9EC92-41D6-43F7-ABB1-1AC213483C38}">
  <dimension ref="B1:L67"/>
  <sheetViews>
    <sheetView topLeftCell="A9" workbookViewId="0">
      <selection activeCell="L13" sqref="L13"/>
    </sheetView>
  </sheetViews>
  <sheetFormatPr defaultColWidth="8.7109375" defaultRowHeight="12.75" x14ac:dyDescent="0.2"/>
  <cols>
    <col min="1" max="1" width="3.28515625" style="31" customWidth="1"/>
    <col min="2" max="2" width="31.140625" style="30" customWidth="1"/>
    <col min="3" max="3" width="4.140625" style="31" customWidth="1"/>
    <col min="4" max="4" width="62.28515625" style="30" customWidth="1"/>
    <col min="5" max="5" width="11.7109375" style="31" customWidth="1"/>
    <col min="6" max="7" width="12.140625" style="31" customWidth="1"/>
    <col min="8" max="8" width="14.7109375" style="31" customWidth="1"/>
    <col min="9" max="9" width="15.28515625" style="31" customWidth="1"/>
    <col min="10" max="16384" width="8.7109375" style="31"/>
  </cols>
  <sheetData>
    <row r="1" spans="2:8" ht="13.5" thickBot="1" x14ac:dyDescent="0.25"/>
    <row r="2" spans="2:8" ht="24" thickBot="1" x14ac:dyDescent="0.4">
      <c r="B2" s="32" t="s">
        <v>26</v>
      </c>
      <c r="C2" s="33"/>
      <c r="D2" s="34" t="s">
        <v>12</v>
      </c>
      <c r="E2" s="33"/>
      <c r="F2" s="99" t="s">
        <v>71</v>
      </c>
      <c r="G2" s="100"/>
      <c r="H2" s="101"/>
    </row>
    <row r="3" spans="2:8" x14ac:dyDescent="0.2">
      <c r="B3" s="36"/>
      <c r="H3" s="37"/>
    </row>
    <row r="4" spans="2:8" x14ac:dyDescent="0.2">
      <c r="B4" s="36" t="s">
        <v>28</v>
      </c>
      <c r="D4" s="30" t="s">
        <v>12</v>
      </c>
      <c r="H4" s="37"/>
    </row>
    <row r="5" spans="2:8" x14ac:dyDescent="0.2">
      <c r="B5" s="36" t="s">
        <v>35</v>
      </c>
      <c r="D5" s="38" t="s">
        <v>36</v>
      </c>
      <c r="H5" s="37"/>
    </row>
    <row r="6" spans="2:8" x14ac:dyDescent="0.2">
      <c r="B6" s="36"/>
      <c r="D6" s="38" t="s">
        <v>37</v>
      </c>
      <c r="H6" s="37"/>
    </row>
    <row r="7" spans="2:8" x14ac:dyDescent="0.2">
      <c r="B7" s="36"/>
      <c r="D7" s="38" t="s">
        <v>43</v>
      </c>
      <c r="H7" s="37"/>
    </row>
    <row r="8" spans="2:8" x14ac:dyDescent="0.2">
      <c r="B8" s="36"/>
      <c r="D8" s="38"/>
      <c r="H8" s="37"/>
    </row>
    <row r="9" spans="2:8" x14ac:dyDescent="0.2">
      <c r="B9" s="36" t="s">
        <v>29</v>
      </c>
      <c r="D9" s="38" t="s">
        <v>150</v>
      </c>
      <c r="H9" s="37"/>
    </row>
    <row r="10" spans="2:8" x14ac:dyDescent="0.2">
      <c r="B10" s="36" t="s">
        <v>30</v>
      </c>
      <c r="D10" s="38"/>
      <c r="H10" s="37"/>
    </row>
    <row r="11" spans="2:8" x14ac:dyDescent="0.2">
      <c r="B11" s="36" t="s">
        <v>151</v>
      </c>
      <c r="D11" s="38"/>
      <c r="E11" s="73"/>
      <c r="H11" s="37"/>
    </row>
    <row r="12" spans="2:8" x14ac:dyDescent="0.2">
      <c r="B12" s="36" t="s">
        <v>31</v>
      </c>
      <c r="D12" s="30" t="s">
        <v>145</v>
      </c>
      <c r="H12" s="37"/>
    </row>
    <row r="13" spans="2:8" x14ac:dyDescent="0.2">
      <c r="B13" s="36"/>
      <c r="D13" s="38"/>
      <c r="H13" s="37"/>
    </row>
    <row r="14" spans="2:8" ht="22.5" customHeight="1" x14ac:dyDescent="0.2">
      <c r="B14" s="39" t="s">
        <v>33</v>
      </c>
      <c r="D14" s="95" t="s">
        <v>180</v>
      </c>
      <c r="H14" s="37"/>
    </row>
    <row r="15" spans="2:8" x14ac:dyDescent="0.2">
      <c r="B15" s="36"/>
      <c r="D15" s="38"/>
      <c r="H15" s="37"/>
    </row>
    <row r="16" spans="2:8" x14ac:dyDescent="0.2">
      <c r="B16" s="36" t="s">
        <v>35</v>
      </c>
      <c r="D16" s="38" t="s">
        <v>36</v>
      </c>
      <c r="H16" s="37"/>
    </row>
    <row r="17" spans="2:12" x14ac:dyDescent="0.2">
      <c r="B17" s="36"/>
      <c r="D17" s="38" t="s">
        <v>37</v>
      </c>
      <c r="H17" s="37"/>
    </row>
    <row r="18" spans="2:12" x14ac:dyDescent="0.2">
      <c r="B18" s="36"/>
      <c r="D18" s="38" t="s">
        <v>43</v>
      </c>
      <c r="H18" s="37"/>
    </row>
    <row r="19" spans="2:12" x14ac:dyDescent="0.2">
      <c r="B19" s="36"/>
      <c r="D19" s="38"/>
      <c r="H19" s="37"/>
    </row>
    <row r="20" spans="2:12" x14ac:dyDescent="0.2">
      <c r="B20" s="36" t="s">
        <v>38</v>
      </c>
      <c r="D20" s="38" t="s">
        <v>163</v>
      </c>
      <c r="H20" s="37"/>
    </row>
    <row r="21" spans="2:12" x14ac:dyDescent="0.2">
      <c r="B21" s="36"/>
      <c r="H21" s="37"/>
    </row>
    <row r="22" spans="2:12" x14ac:dyDescent="0.2">
      <c r="B22" s="36" t="s">
        <v>146</v>
      </c>
      <c r="D22" s="41">
        <v>31000</v>
      </c>
      <c r="H22" s="37"/>
    </row>
    <row r="23" spans="2:12" x14ac:dyDescent="0.2">
      <c r="B23" s="36"/>
      <c r="H23" s="37"/>
    </row>
    <row r="24" spans="2:12" ht="15.75" x14ac:dyDescent="0.25">
      <c r="B24" s="46"/>
      <c r="C24" s="44"/>
      <c r="D24" s="47"/>
      <c r="E24" s="44"/>
      <c r="F24" s="48"/>
      <c r="G24" s="48"/>
      <c r="H24" s="49"/>
      <c r="L24" s="70"/>
    </row>
    <row r="25" spans="2:12" ht="15.75" x14ac:dyDescent="0.25">
      <c r="L25" s="70"/>
    </row>
    <row r="26" spans="2:12" ht="23.25" x14ac:dyDescent="0.35">
      <c r="B26" s="50"/>
      <c r="C26" s="33"/>
      <c r="D26" s="51" t="s">
        <v>179</v>
      </c>
      <c r="E26" s="33"/>
      <c r="F26" s="33"/>
      <c r="G26" s="33"/>
      <c r="H26" s="35"/>
      <c r="L26" s="70"/>
    </row>
    <row r="27" spans="2:12" ht="15.75" x14ac:dyDescent="0.25">
      <c r="B27" s="36"/>
      <c r="H27" s="37"/>
      <c r="L27" s="70"/>
    </row>
    <row r="28" spans="2:12" x14ac:dyDescent="0.2">
      <c r="B28" s="36" t="s">
        <v>47</v>
      </c>
      <c r="D28" s="30" t="s">
        <v>12</v>
      </c>
      <c r="H28" s="37"/>
    </row>
    <row r="29" spans="2:12" x14ac:dyDescent="0.2">
      <c r="B29" s="36"/>
      <c r="H29" s="37"/>
    </row>
    <row r="30" spans="2:12" x14ac:dyDescent="0.2">
      <c r="B30" s="36" t="s">
        <v>48</v>
      </c>
      <c r="D30" s="30" t="s">
        <v>147</v>
      </c>
      <c r="H30" s="37"/>
    </row>
    <row r="31" spans="2:12" x14ac:dyDescent="0.2">
      <c r="B31" s="36" t="s">
        <v>148</v>
      </c>
      <c r="D31" s="30" t="s">
        <v>149</v>
      </c>
      <c r="H31" s="37"/>
    </row>
    <row r="32" spans="2:12" x14ac:dyDescent="0.2">
      <c r="B32" s="36"/>
      <c r="H32" s="37"/>
    </row>
    <row r="33" spans="2:8" x14ac:dyDescent="0.2">
      <c r="B33" s="36" t="s">
        <v>50</v>
      </c>
      <c r="D33" s="30" t="s">
        <v>152</v>
      </c>
      <c r="H33" s="37"/>
    </row>
    <row r="34" spans="2:8" x14ac:dyDescent="0.2">
      <c r="B34" s="36"/>
      <c r="D34" s="30" t="s">
        <v>52</v>
      </c>
      <c r="H34" s="37"/>
    </row>
    <row r="35" spans="2:8" x14ac:dyDescent="0.2">
      <c r="B35" s="36"/>
      <c r="D35" s="30" t="s">
        <v>53</v>
      </c>
      <c r="H35" s="37"/>
    </row>
    <row r="36" spans="2:8" x14ac:dyDescent="0.2">
      <c r="B36" s="36"/>
      <c r="D36" s="74" t="s">
        <v>153</v>
      </c>
      <c r="H36" s="37"/>
    </row>
    <row r="37" spans="2:8" x14ac:dyDescent="0.2">
      <c r="B37" s="36"/>
      <c r="H37" s="37"/>
    </row>
    <row r="38" spans="2:8" x14ac:dyDescent="0.2">
      <c r="B38" s="36" t="s">
        <v>55</v>
      </c>
      <c r="D38" s="30" t="s">
        <v>26</v>
      </c>
      <c r="H38" s="37"/>
    </row>
    <row r="39" spans="2:8" x14ac:dyDescent="0.2">
      <c r="B39" s="36"/>
      <c r="D39" s="30" t="s">
        <v>56</v>
      </c>
      <c r="H39" s="37"/>
    </row>
    <row r="40" spans="2:8" x14ac:dyDescent="0.2">
      <c r="B40" s="36"/>
      <c r="D40" s="30" t="s">
        <v>53</v>
      </c>
      <c r="H40" s="37"/>
    </row>
    <row r="41" spans="2:8" x14ac:dyDescent="0.2">
      <c r="B41" s="36"/>
      <c r="D41" s="52" t="s">
        <v>57</v>
      </c>
      <c r="H41" s="37"/>
    </row>
    <row r="42" spans="2:8" x14ac:dyDescent="0.2">
      <c r="B42" s="36"/>
      <c r="H42" s="37"/>
    </row>
    <row r="43" spans="2:8" x14ac:dyDescent="0.2">
      <c r="B43" s="46"/>
      <c r="C43" s="44"/>
      <c r="D43" s="47"/>
      <c r="E43" s="44"/>
      <c r="F43" s="44"/>
      <c r="G43" s="44"/>
      <c r="H43" s="49"/>
    </row>
    <row r="45" spans="2:8" ht="26.25" x14ac:dyDescent="0.4">
      <c r="B45" s="50"/>
      <c r="C45" s="33"/>
      <c r="D45" s="53" t="s">
        <v>58</v>
      </c>
      <c r="E45" s="33"/>
      <c r="F45" s="33"/>
      <c r="G45" s="33"/>
      <c r="H45" s="35"/>
    </row>
    <row r="46" spans="2:8" x14ac:dyDescent="0.2">
      <c r="B46" s="36"/>
      <c r="H46" s="37"/>
    </row>
    <row r="47" spans="2:8" x14ac:dyDescent="0.2">
      <c r="B47" s="36" t="s">
        <v>47</v>
      </c>
      <c r="D47" s="30" t="s">
        <v>12</v>
      </c>
      <c r="H47" s="37"/>
    </row>
    <row r="48" spans="2:8" x14ac:dyDescent="0.2">
      <c r="B48" s="36" t="s">
        <v>59</v>
      </c>
      <c r="D48" s="30" t="s">
        <v>145</v>
      </c>
      <c r="F48" s="54"/>
      <c r="G48" s="54"/>
      <c r="H48" s="37"/>
    </row>
    <row r="49" spans="2:8" x14ac:dyDescent="0.2">
      <c r="B49" s="36"/>
      <c r="D49" s="55"/>
      <c r="F49" s="54"/>
      <c r="G49" s="54"/>
      <c r="H49" s="37"/>
    </row>
    <row r="50" spans="2:8" x14ac:dyDescent="0.2">
      <c r="B50" s="36" t="s">
        <v>60</v>
      </c>
      <c r="D50" s="30" t="s">
        <v>178</v>
      </c>
      <c r="E50" s="42">
        <v>1</v>
      </c>
      <c r="F50" s="56"/>
      <c r="G50" s="56"/>
      <c r="H50" s="37"/>
    </row>
    <row r="51" spans="2:8" x14ac:dyDescent="0.2">
      <c r="B51" s="36"/>
      <c r="D51" s="30" t="s">
        <v>177</v>
      </c>
      <c r="E51" s="42"/>
      <c r="F51" s="56"/>
      <c r="G51" s="56"/>
      <c r="H51" s="37"/>
    </row>
    <row r="52" spans="2:8" x14ac:dyDescent="0.2">
      <c r="B52" s="36"/>
      <c r="D52" s="30" t="s">
        <v>36</v>
      </c>
      <c r="F52" s="56"/>
      <c r="G52" s="56"/>
      <c r="H52" s="37"/>
    </row>
    <row r="53" spans="2:8" x14ac:dyDescent="0.2">
      <c r="B53" s="36"/>
      <c r="D53" s="30" t="s">
        <v>61</v>
      </c>
      <c r="F53" s="56"/>
      <c r="G53" s="56"/>
      <c r="H53" s="37"/>
    </row>
    <row r="54" spans="2:8" x14ac:dyDescent="0.2">
      <c r="B54" s="36"/>
      <c r="D54" s="55" t="s">
        <v>141</v>
      </c>
      <c r="F54" s="54"/>
      <c r="G54" s="54"/>
      <c r="H54" s="37"/>
    </row>
    <row r="55" spans="2:8" x14ac:dyDescent="0.2">
      <c r="B55" s="36"/>
      <c r="F55" s="54"/>
      <c r="G55" s="54"/>
      <c r="H55" s="37"/>
    </row>
    <row r="56" spans="2:8" x14ac:dyDescent="0.2">
      <c r="B56" s="46"/>
      <c r="C56" s="44"/>
      <c r="D56" s="47"/>
      <c r="E56" s="44"/>
      <c r="F56" s="44"/>
      <c r="G56" s="44"/>
      <c r="H56" s="49"/>
    </row>
    <row r="58" spans="2:8" ht="23.25" x14ac:dyDescent="0.35">
      <c r="B58" s="50"/>
      <c r="C58" s="33"/>
      <c r="D58" s="51" t="s">
        <v>62</v>
      </c>
      <c r="E58" s="33"/>
      <c r="F58" s="33"/>
      <c r="G58" s="33"/>
      <c r="H58" s="35"/>
    </row>
    <row r="59" spans="2:8" x14ac:dyDescent="0.2">
      <c r="B59" s="36"/>
      <c r="H59" s="37"/>
    </row>
    <row r="60" spans="2:8" x14ac:dyDescent="0.2">
      <c r="B60" s="36" t="s">
        <v>47</v>
      </c>
      <c r="D60" s="30" t="s">
        <v>12</v>
      </c>
      <c r="H60" s="37"/>
    </row>
    <row r="61" spans="2:8" x14ac:dyDescent="0.2">
      <c r="B61" s="36"/>
      <c r="H61" s="37"/>
    </row>
    <row r="62" spans="2:8" x14ac:dyDescent="0.2">
      <c r="B62" s="36" t="s">
        <v>63</v>
      </c>
      <c r="D62" s="30" t="s">
        <v>142</v>
      </c>
      <c r="H62" s="37"/>
    </row>
    <row r="63" spans="2:8" x14ac:dyDescent="0.2">
      <c r="B63" s="36" t="s">
        <v>65</v>
      </c>
      <c r="D63" s="30" t="s">
        <v>144</v>
      </c>
      <c r="H63" s="37"/>
    </row>
    <row r="64" spans="2:8" x14ac:dyDescent="0.2">
      <c r="B64" s="36"/>
      <c r="H64" s="37"/>
    </row>
    <row r="65" spans="2:8" x14ac:dyDescent="0.2">
      <c r="B65" s="36" t="s">
        <v>67</v>
      </c>
      <c r="D65" s="30" t="s">
        <v>143</v>
      </c>
      <c r="H65" s="37"/>
    </row>
    <row r="66" spans="2:8" x14ac:dyDescent="0.2">
      <c r="B66" s="36"/>
      <c r="H66" s="37"/>
    </row>
    <row r="67" spans="2:8" x14ac:dyDescent="0.2">
      <c r="B67" s="46"/>
      <c r="C67" s="44"/>
      <c r="D67" s="47"/>
      <c r="E67" s="44"/>
      <c r="F67" s="44"/>
      <c r="G67" s="44"/>
      <c r="H67" s="49"/>
    </row>
  </sheetData>
  <mergeCells count="1">
    <mergeCell ref="F2:H2"/>
  </mergeCells>
  <hyperlinks>
    <hyperlink ref="D36" r:id="rId1" xr:uid="{BE250CDB-A405-4C6C-B936-7D331B6DF41B}"/>
    <hyperlink ref="D41" r:id="rId2" xr:uid="{AFE142E9-B6AB-48EB-86C7-4D53BE7D4156}"/>
    <hyperlink ref="D14" r:id="rId3" xr:uid="{9EC39B7F-85AF-4C84-9C7A-682283167311}"/>
  </hyperlinks>
  <pageMargins left="0.25" right="0.25" top="0.75" bottom="0.75" header="0.3" footer="0.3"/>
  <pageSetup paperSize="9" scale="75"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32080-B35D-4DF0-A747-C0120177900C}">
  <dimension ref="B1:H48"/>
  <sheetViews>
    <sheetView workbookViewId="0">
      <selection activeCell="G35" sqref="G35"/>
    </sheetView>
  </sheetViews>
  <sheetFormatPr defaultColWidth="8.7109375" defaultRowHeight="12.75" x14ac:dyDescent="0.2"/>
  <cols>
    <col min="1" max="1" width="3.28515625" style="31" customWidth="1"/>
    <col min="2" max="2" width="31.140625" style="30" customWidth="1"/>
    <col min="3" max="3" width="4.140625" style="31" customWidth="1"/>
    <col min="4" max="4" width="57.140625" style="30" customWidth="1"/>
    <col min="5" max="6" width="8.7109375" style="31"/>
    <col min="7" max="7" width="18.5703125" style="31" customWidth="1"/>
    <col min="8" max="8" width="6.85546875" style="31" customWidth="1"/>
    <col min="9" max="16384" width="8.7109375" style="31"/>
  </cols>
  <sheetData>
    <row r="1" spans="2:8" ht="13.5" thickBot="1" x14ac:dyDescent="0.25"/>
    <row r="2" spans="2:8" ht="24" thickBot="1" x14ac:dyDescent="0.4">
      <c r="B2" s="32" t="s">
        <v>69</v>
      </c>
      <c r="C2" s="33"/>
      <c r="D2" s="34" t="s">
        <v>101</v>
      </c>
      <c r="E2" s="51"/>
      <c r="F2" s="63"/>
      <c r="G2" s="33"/>
      <c r="H2" s="35"/>
    </row>
    <row r="3" spans="2:8" x14ac:dyDescent="0.2">
      <c r="B3" s="36"/>
      <c r="H3" s="37"/>
    </row>
    <row r="4" spans="2:8" x14ac:dyDescent="0.2">
      <c r="B4" s="36" t="s">
        <v>72</v>
      </c>
      <c r="D4" s="30" t="s">
        <v>102</v>
      </c>
      <c r="H4" s="37"/>
    </row>
    <row r="5" spans="2:8" x14ac:dyDescent="0.2">
      <c r="B5" s="36" t="s">
        <v>74</v>
      </c>
      <c r="D5" s="38"/>
      <c r="H5" s="37"/>
    </row>
    <row r="6" spans="2:8" x14ac:dyDescent="0.2">
      <c r="B6" s="36"/>
      <c r="D6" s="38"/>
      <c r="H6" s="37"/>
    </row>
    <row r="7" spans="2:8" x14ac:dyDescent="0.2">
      <c r="B7" s="36" t="s">
        <v>75</v>
      </c>
      <c r="D7" s="38" t="s">
        <v>103</v>
      </c>
      <c r="H7" s="37"/>
    </row>
    <row r="8" spans="2:8" x14ac:dyDescent="0.2">
      <c r="B8" s="36" t="s">
        <v>104</v>
      </c>
      <c r="D8" s="38" t="s">
        <v>105</v>
      </c>
      <c r="H8" s="37"/>
    </row>
    <row r="9" spans="2:8" x14ac:dyDescent="0.2">
      <c r="B9" s="36" t="s">
        <v>77</v>
      </c>
      <c r="D9" s="38" t="s">
        <v>106</v>
      </c>
      <c r="H9" s="37"/>
    </row>
    <row r="10" spans="2:8" x14ac:dyDescent="0.2">
      <c r="B10" s="36"/>
      <c r="D10" s="38"/>
      <c r="H10" s="37"/>
    </row>
    <row r="11" spans="2:8" x14ac:dyDescent="0.2">
      <c r="B11" s="36"/>
      <c r="D11" s="38"/>
      <c r="H11" s="37"/>
    </row>
    <row r="12" spans="2:8" x14ac:dyDescent="0.2">
      <c r="B12" s="36" t="s">
        <v>81</v>
      </c>
      <c r="D12" s="38" t="s">
        <v>82</v>
      </c>
      <c r="H12" s="37"/>
    </row>
    <row r="13" spans="2:8" x14ac:dyDescent="0.2">
      <c r="B13" s="36"/>
      <c r="D13" s="38" t="s">
        <v>83</v>
      </c>
      <c r="H13" s="37"/>
    </row>
    <row r="14" spans="2:8" x14ac:dyDescent="0.2">
      <c r="B14" s="36"/>
      <c r="D14" s="38" t="s">
        <v>84</v>
      </c>
      <c r="H14" s="37"/>
    </row>
    <row r="15" spans="2:8" x14ac:dyDescent="0.2">
      <c r="B15" s="36"/>
      <c r="D15" s="38" t="s">
        <v>85</v>
      </c>
      <c r="H15" s="37"/>
    </row>
    <row r="16" spans="2:8" x14ac:dyDescent="0.2">
      <c r="B16" s="36"/>
      <c r="D16" s="38"/>
      <c r="H16" s="37"/>
    </row>
    <row r="17" spans="2:8" x14ac:dyDescent="0.2">
      <c r="B17" s="36" t="s">
        <v>107</v>
      </c>
      <c r="D17" s="38" t="s">
        <v>108</v>
      </c>
      <c r="H17" s="37"/>
    </row>
    <row r="18" spans="2:8" x14ac:dyDescent="0.2">
      <c r="B18" s="36"/>
      <c r="D18" s="38" t="s">
        <v>109</v>
      </c>
      <c r="H18" s="37"/>
    </row>
    <row r="19" spans="2:8" x14ac:dyDescent="0.2">
      <c r="B19" s="36"/>
      <c r="D19" s="38" t="s">
        <v>110</v>
      </c>
      <c r="H19" s="37"/>
    </row>
    <row r="20" spans="2:8" x14ac:dyDescent="0.2">
      <c r="B20" s="36"/>
      <c r="D20" s="38"/>
      <c r="H20" s="37"/>
    </row>
    <row r="21" spans="2:8" x14ac:dyDescent="0.2">
      <c r="B21" s="36" t="s">
        <v>38</v>
      </c>
      <c r="D21" s="38" t="s">
        <v>88</v>
      </c>
      <c r="E21" s="30" t="s">
        <v>91</v>
      </c>
      <c r="H21" s="37"/>
    </row>
    <row r="22" spans="2:8" x14ac:dyDescent="0.2">
      <c r="B22" s="36"/>
      <c r="H22" s="37"/>
    </row>
    <row r="23" spans="2:8" x14ac:dyDescent="0.2">
      <c r="B23" s="36" t="s">
        <v>89</v>
      </c>
      <c r="D23" s="30" t="s">
        <v>111</v>
      </c>
      <c r="E23" s="30" t="s">
        <v>112</v>
      </c>
      <c r="F23" s="30" t="s">
        <v>113</v>
      </c>
      <c r="H23" s="37"/>
    </row>
    <row r="24" spans="2:8" x14ac:dyDescent="0.2">
      <c r="B24" s="36"/>
      <c r="H24" s="37"/>
    </row>
    <row r="25" spans="2:8" x14ac:dyDescent="0.2">
      <c r="B25" s="36" t="s">
        <v>92</v>
      </c>
      <c r="D25" s="57">
        <f>G41</f>
        <v>2405250</v>
      </c>
      <c r="F25" s="64" t="s">
        <v>114</v>
      </c>
      <c r="G25" s="64" t="s">
        <v>115</v>
      </c>
      <c r="H25" s="37"/>
    </row>
    <row r="26" spans="2:8" x14ac:dyDescent="0.2">
      <c r="B26" s="36"/>
      <c r="H26" s="37"/>
    </row>
    <row r="27" spans="2:8" x14ac:dyDescent="0.2">
      <c r="B27" s="36" t="s">
        <v>93</v>
      </c>
      <c r="D27" s="30" t="s">
        <v>70</v>
      </c>
      <c r="F27" s="65">
        <f>G27/G41</f>
        <v>2.1827252884315559E-3</v>
      </c>
      <c r="G27" s="59">
        <v>5250</v>
      </c>
      <c r="H27" s="37"/>
    </row>
    <row r="28" spans="2:8" x14ac:dyDescent="0.2">
      <c r="B28" s="36" t="s">
        <v>116</v>
      </c>
      <c r="D28" s="30" t="s">
        <v>117</v>
      </c>
      <c r="F28" s="65"/>
      <c r="G28" s="59"/>
      <c r="H28" s="37"/>
    </row>
    <row r="29" spans="2:8" x14ac:dyDescent="0.2">
      <c r="B29" s="36"/>
      <c r="F29" s="65"/>
      <c r="G29" s="59"/>
      <c r="H29" s="37"/>
    </row>
    <row r="30" spans="2:8" x14ac:dyDescent="0.2">
      <c r="B30" s="36"/>
      <c r="D30" s="30" t="s">
        <v>94</v>
      </c>
      <c r="F30" s="65"/>
      <c r="G30" s="59"/>
      <c r="H30" s="37"/>
    </row>
    <row r="31" spans="2:8" x14ac:dyDescent="0.2">
      <c r="B31" s="36"/>
      <c r="D31" s="30" t="s">
        <v>118</v>
      </c>
      <c r="F31" s="54"/>
      <c r="H31" s="37"/>
    </row>
    <row r="32" spans="2:8" x14ac:dyDescent="0.2">
      <c r="B32" s="36"/>
      <c r="D32" s="30" t="s">
        <v>119</v>
      </c>
      <c r="F32" s="54"/>
      <c r="H32" s="37"/>
    </row>
    <row r="33" spans="2:8" x14ac:dyDescent="0.2">
      <c r="B33" s="36"/>
      <c r="F33" s="54"/>
      <c r="H33" s="37"/>
    </row>
    <row r="34" spans="2:8" x14ac:dyDescent="0.2">
      <c r="B34" s="36"/>
      <c r="F34" s="54"/>
      <c r="H34" s="37"/>
    </row>
    <row r="35" spans="2:8" x14ac:dyDescent="0.2">
      <c r="B35" s="36" t="s">
        <v>93</v>
      </c>
      <c r="D35" s="30" t="s">
        <v>27</v>
      </c>
      <c r="F35" s="65">
        <f>G35/G41</f>
        <v>0.99781727471156845</v>
      </c>
      <c r="G35" s="59">
        <v>2400000</v>
      </c>
      <c r="H35" s="37"/>
    </row>
    <row r="36" spans="2:8" x14ac:dyDescent="0.2">
      <c r="B36" s="36" t="s">
        <v>120</v>
      </c>
      <c r="D36" s="30" t="s">
        <v>121</v>
      </c>
      <c r="F36" s="65"/>
      <c r="G36" s="59"/>
      <c r="H36" s="37"/>
    </row>
    <row r="37" spans="2:8" x14ac:dyDescent="0.2">
      <c r="B37" s="36"/>
      <c r="F37" s="65"/>
      <c r="G37" s="59"/>
      <c r="H37" s="37"/>
    </row>
    <row r="38" spans="2:8" x14ac:dyDescent="0.2">
      <c r="B38" s="36"/>
      <c r="D38" s="30" t="s">
        <v>122</v>
      </c>
      <c r="H38" s="37"/>
    </row>
    <row r="39" spans="2:8" x14ac:dyDescent="0.2">
      <c r="B39" s="36"/>
      <c r="D39" s="30" t="s">
        <v>123</v>
      </c>
      <c r="F39" s="58"/>
      <c r="G39" s="59"/>
      <c r="H39" s="37"/>
    </row>
    <row r="40" spans="2:8" x14ac:dyDescent="0.2">
      <c r="B40" s="36"/>
      <c r="D40" s="30" t="s">
        <v>124</v>
      </c>
      <c r="F40" s="60"/>
      <c r="G40" s="62"/>
      <c r="H40" s="37"/>
    </row>
    <row r="41" spans="2:8" x14ac:dyDescent="0.2">
      <c r="B41" s="36"/>
      <c r="F41" s="65">
        <f>SUM(F26:F37)</f>
        <v>1</v>
      </c>
      <c r="G41" s="59">
        <f>SUM(G26:G37)</f>
        <v>2405250</v>
      </c>
      <c r="H41" s="37"/>
    </row>
    <row r="42" spans="2:8" x14ac:dyDescent="0.2">
      <c r="B42" s="46"/>
      <c r="C42" s="44"/>
      <c r="D42" s="47"/>
      <c r="E42" s="44"/>
      <c r="F42" s="44"/>
      <c r="G42" s="62"/>
      <c r="H42" s="49"/>
    </row>
    <row r="45" spans="2:8" x14ac:dyDescent="0.2">
      <c r="D45" s="30" t="s">
        <v>125</v>
      </c>
    </row>
    <row r="46" spans="2:8" x14ac:dyDescent="0.2">
      <c r="D46" s="30" t="s">
        <v>126</v>
      </c>
    </row>
    <row r="47" spans="2:8" x14ac:dyDescent="0.2">
      <c r="D47" s="30" t="s">
        <v>127</v>
      </c>
    </row>
    <row r="48" spans="2:8" x14ac:dyDescent="0.2">
      <c r="D48" s="30" t="s">
        <v>128</v>
      </c>
    </row>
  </sheetData>
  <hyperlinks>
    <hyperlink ref="D21" r:id="rId1" xr:uid="{876DE906-D03B-4DF1-A6A9-E50395B6B68A}"/>
  </hyperlinks>
  <pageMargins left="0.25" right="0.25" top="0.75" bottom="0.75" header="0.3" footer="0.3"/>
  <pageSetup paperSize="9" scale="75"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AFB83-A1D0-49FC-A63C-BEE6FDBB39BE}">
  <dimension ref="B1:I33"/>
  <sheetViews>
    <sheetView workbookViewId="0">
      <selection activeCell="D2" sqref="D2"/>
    </sheetView>
  </sheetViews>
  <sheetFormatPr defaultColWidth="8.7109375" defaultRowHeight="12.75" x14ac:dyDescent="0.2"/>
  <cols>
    <col min="1" max="1" width="3.28515625" style="31" customWidth="1"/>
    <col min="2" max="2" width="26.5703125" style="30" customWidth="1"/>
    <col min="3" max="3" width="4.140625" style="31" customWidth="1"/>
    <col min="4" max="4" width="48" style="30" customWidth="1"/>
    <col min="5" max="7" width="8.7109375" style="31"/>
    <col min="8" max="8" width="18.85546875" style="31" customWidth="1"/>
    <col min="9" max="9" width="6.85546875" style="31" customWidth="1"/>
    <col min="10" max="16384" width="8.7109375" style="31"/>
  </cols>
  <sheetData>
    <row r="1" spans="2:9" ht="13.5" thickBot="1" x14ac:dyDescent="0.25"/>
    <row r="2" spans="2:9" ht="24" thickBot="1" x14ac:dyDescent="0.4">
      <c r="B2" s="32" t="s">
        <v>69</v>
      </c>
      <c r="C2" s="33"/>
      <c r="D2" s="34" t="s">
        <v>70</v>
      </c>
      <c r="E2" s="51"/>
      <c r="F2" s="99" t="s">
        <v>71</v>
      </c>
      <c r="G2" s="100"/>
      <c r="H2" s="101"/>
      <c r="I2" s="35"/>
    </row>
    <row r="3" spans="2:9" x14ac:dyDescent="0.2">
      <c r="B3" s="36"/>
      <c r="I3" s="37"/>
    </row>
    <row r="4" spans="2:9" x14ac:dyDescent="0.2">
      <c r="B4" s="36" t="s">
        <v>72</v>
      </c>
      <c r="D4" s="30" t="s">
        <v>73</v>
      </c>
      <c r="I4" s="37"/>
    </row>
    <row r="5" spans="2:9" x14ac:dyDescent="0.2">
      <c r="B5" s="36" t="s">
        <v>74</v>
      </c>
      <c r="D5" s="38">
        <v>45734</v>
      </c>
      <c r="I5" s="37"/>
    </row>
    <row r="6" spans="2:9" x14ac:dyDescent="0.2">
      <c r="B6" s="36"/>
      <c r="D6" s="38"/>
      <c r="I6" s="37"/>
    </row>
    <row r="7" spans="2:9" x14ac:dyDescent="0.2">
      <c r="B7" s="36" t="s">
        <v>75</v>
      </c>
      <c r="D7" s="38" t="s">
        <v>76</v>
      </c>
      <c r="I7" s="37"/>
    </row>
    <row r="8" spans="2:9" x14ac:dyDescent="0.2">
      <c r="B8" s="36" t="s">
        <v>77</v>
      </c>
      <c r="D8" s="38" t="s">
        <v>78</v>
      </c>
      <c r="I8" s="37"/>
    </row>
    <row r="9" spans="2:9" x14ac:dyDescent="0.2">
      <c r="B9" s="36"/>
      <c r="D9" s="38" t="s">
        <v>79</v>
      </c>
      <c r="E9" s="31" t="s">
        <v>80</v>
      </c>
      <c r="I9" s="37"/>
    </row>
    <row r="10" spans="2:9" x14ac:dyDescent="0.2">
      <c r="B10" s="36"/>
      <c r="D10" s="38"/>
      <c r="I10" s="37"/>
    </row>
    <row r="11" spans="2:9" x14ac:dyDescent="0.2">
      <c r="B11" s="36" t="s">
        <v>81</v>
      </c>
      <c r="D11" s="38" t="s">
        <v>82</v>
      </c>
      <c r="I11" s="37"/>
    </row>
    <row r="12" spans="2:9" x14ac:dyDescent="0.2">
      <c r="B12" s="36"/>
      <c r="D12" s="38" t="s">
        <v>83</v>
      </c>
      <c r="I12" s="37"/>
    </row>
    <row r="13" spans="2:9" x14ac:dyDescent="0.2">
      <c r="B13" s="36"/>
      <c r="D13" s="38" t="s">
        <v>84</v>
      </c>
      <c r="I13" s="37"/>
    </row>
    <row r="14" spans="2:9" x14ac:dyDescent="0.2">
      <c r="B14" s="36"/>
      <c r="D14" s="38" t="s">
        <v>85</v>
      </c>
      <c r="I14" s="37"/>
    </row>
    <row r="15" spans="2:9" x14ac:dyDescent="0.2">
      <c r="B15" s="36"/>
      <c r="D15" s="38"/>
      <c r="I15" s="37"/>
    </row>
    <row r="16" spans="2:9" x14ac:dyDescent="0.2">
      <c r="B16" s="36"/>
      <c r="D16" s="38" t="s">
        <v>86</v>
      </c>
      <c r="I16" s="37"/>
    </row>
    <row r="17" spans="2:9" x14ac:dyDescent="0.2">
      <c r="B17" s="36"/>
      <c r="D17" s="38" t="s">
        <v>87</v>
      </c>
      <c r="I17" s="37"/>
    </row>
    <row r="18" spans="2:9" x14ac:dyDescent="0.2">
      <c r="B18" s="36"/>
      <c r="D18" s="38"/>
      <c r="I18" s="37"/>
    </row>
    <row r="19" spans="2:9" x14ac:dyDescent="0.2">
      <c r="B19" s="36" t="s">
        <v>38</v>
      </c>
      <c r="D19" s="38" t="s">
        <v>88</v>
      </c>
      <c r="I19" s="37"/>
    </row>
    <row r="20" spans="2:9" x14ac:dyDescent="0.2">
      <c r="B20" s="36"/>
      <c r="I20" s="37"/>
    </row>
    <row r="21" spans="2:9" x14ac:dyDescent="0.2">
      <c r="B21" s="36" t="s">
        <v>89</v>
      </c>
      <c r="D21" s="30" t="s">
        <v>90</v>
      </c>
      <c r="E21" s="30" t="s">
        <v>91</v>
      </c>
      <c r="I21" s="37"/>
    </row>
    <row r="22" spans="2:9" x14ac:dyDescent="0.2">
      <c r="B22" s="36"/>
      <c r="I22" s="37"/>
    </row>
    <row r="23" spans="2:9" x14ac:dyDescent="0.2">
      <c r="B23" s="36" t="s">
        <v>92</v>
      </c>
      <c r="D23" s="57">
        <f>H32</f>
        <v>100000</v>
      </c>
      <c r="I23" s="37"/>
    </row>
    <row r="24" spans="2:9" x14ac:dyDescent="0.2">
      <c r="B24" s="36"/>
      <c r="I24" s="37"/>
    </row>
    <row r="25" spans="2:9" x14ac:dyDescent="0.2">
      <c r="B25" s="36" t="s">
        <v>93</v>
      </c>
      <c r="D25" s="30" t="s">
        <v>94</v>
      </c>
      <c r="E25" s="31" t="s">
        <v>95</v>
      </c>
      <c r="F25" s="58">
        <v>70</v>
      </c>
      <c r="G25" s="54">
        <f>H25/H32</f>
        <v>0.7</v>
      </c>
      <c r="H25" s="59">
        <v>70000</v>
      </c>
      <c r="I25" s="37"/>
    </row>
    <row r="26" spans="2:9" x14ac:dyDescent="0.2">
      <c r="B26" s="36" t="s">
        <v>96</v>
      </c>
      <c r="D26" s="30" t="s">
        <v>97</v>
      </c>
      <c r="F26" s="58"/>
      <c r="G26" s="54"/>
      <c r="H26" s="59"/>
      <c r="I26" s="37"/>
    </row>
    <row r="27" spans="2:9" x14ac:dyDescent="0.2">
      <c r="B27" s="36"/>
      <c r="D27" s="30" t="s">
        <v>98</v>
      </c>
      <c r="F27" s="58"/>
      <c r="G27" s="54"/>
      <c r="H27" s="59"/>
      <c r="I27" s="37"/>
    </row>
    <row r="28" spans="2:9" x14ac:dyDescent="0.2">
      <c r="B28" s="36"/>
      <c r="F28" s="58"/>
      <c r="G28" s="54"/>
      <c r="H28" s="59"/>
      <c r="I28" s="37"/>
    </row>
    <row r="29" spans="2:9" x14ac:dyDescent="0.2">
      <c r="B29" s="36" t="s">
        <v>93</v>
      </c>
      <c r="D29" s="30" t="s">
        <v>99</v>
      </c>
      <c r="E29" s="31" t="s">
        <v>95</v>
      </c>
      <c r="F29" s="58">
        <v>30</v>
      </c>
      <c r="G29" s="54">
        <f>H29/H32</f>
        <v>0.3</v>
      </c>
      <c r="H29" s="59">
        <v>30000</v>
      </c>
      <c r="I29" s="37"/>
    </row>
    <row r="30" spans="2:9" x14ac:dyDescent="0.2">
      <c r="B30" s="36" t="s">
        <v>96</v>
      </c>
      <c r="D30" s="30" t="s">
        <v>100</v>
      </c>
      <c r="F30" s="58"/>
      <c r="G30" s="54"/>
      <c r="H30" s="59"/>
      <c r="I30" s="37"/>
    </row>
    <row r="31" spans="2:9" x14ac:dyDescent="0.2">
      <c r="B31" s="36"/>
      <c r="F31" s="60"/>
      <c r="G31" s="61"/>
      <c r="H31" s="62"/>
      <c r="I31" s="37"/>
    </row>
    <row r="32" spans="2:9" x14ac:dyDescent="0.2">
      <c r="B32" s="36"/>
      <c r="F32" s="58">
        <f>SUM(F25:F31)</f>
        <v>100</v>
      </c>
      <c r="G32" s="54">
        <f>SUM(G25:G31)</f>
        <v>1</v>
      </c>
      <c r="H32" s="59">
        <f>SUM(H24:H31)</f>
        <v>100000</v>
      </c>
      <c r="I32" s="37"/>
    </row>
    <row r="33" spans="2:9" x14ac:dyDescent="0.2">
      <c r="B33" s="46"/>
      <c r="C33" s="44"/>
      <c r="D33" s="47"/>
      <c r="E33" s="44"/>
      <c r="F33" s="44"/>
      <c r="G33" s="44"/>
      <c r="H33" s="62"/>
      <c r="I33" s="49"/>
    </row>
  </sheetData>
  <mergeCells count="1">
    <mergeCell ref="F2:H2"/>
  </mergeCells>
  <hyperlinks>
    <hyperlink ref="D19" r:id="rId1" xr:uid="{49D005BD-B35D-4771-B543-6F273387AA49}"/>
  </hyperlinks>
  <pageMargins left="0.25" right="0.25" top="0.75" bottom="0.75" header="0.3" footer="0.3"/>
  <pageSetup paperSize="9" scale="75"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D5AEF-D27A-45C6-957C-A01323C8372E}">
  <dimension ref="B2:B20"/>
  <sheetViews>
    <sheetView workbookViewId="0">
      <selection sqref="A1:XFD1"/>
    </sheetView>
  </sheetViews>
  <sheetFormatPr defaultRowHeight="12.75" x14ac:dyDescent="0.2"/>
  <cols>
    <col min="1" max="1" width="5.85546875" style="31" customWidth="1"/>
    <col min="2" max="2" width="108.28515625" style="31" customWidth="1"/>
    <col min="3" max="16384" width="9.140625" style="31"/>
  </cols>
  <sheetData>
    <row r="2" spans="2:2" ht="23.25" x14ac:dyDescent="0.2">
      <c r="B2" s="93" t="s">
        <v>176</v>
      </c>
    </row>
    <row r="3" spans="2:2" ht="23.25" x14ac:dyDescent="0.2">
      <c r="B3" s="94"/>
    </row>
    <row r="4" spans="2:2" ht="15.75" x14ac:dyDescent="0.2">
      <c r="B4" s="66" t="s">
        <v>164</v>
      </c>
    </row>
    <row r="6" spans="2:2" ht="15.75" x14ac:dyDescent="0.2">
      <c r="B6" s="66" t="s">
        <v>129</v>
      </c>
    </row>
    <row r="7" spans="2:2" ht="30" x14ac:dyDescent="0.2">
      <c r="B7" s="67" t="s">
        <v>130</v>
      </c>
    </row>
    <row r="8" spans="2:2" ht="15.75" x14ac:dyDescent="0.2">
      <c r="B8" s="68" t="s">
        <v>131</v>
      </c>
    </row>
    <row r="9" spans="2:2" ht="30.75" x14ac:dyDescent="0.2">
      <c r="B9" s="67" t="s">
        <v>132</v>
      </c>
    </row>
    <row r="10" spans="2:2" ht="15" x14ac:dyDescent="0.2">
      <c r="B10" s="67"/>
    </row>
    <row r="11" spans="2:2" ht="15" x14ac:dyDescent="0.2">
      <c r="B11" s="67"/>
    </row>
    <row r="12" spans="2:2" ht="60" x14ac:dyDescent="0.2">
      <c r="B12" s="67" t="s">
        <v>133</v>
      </c>
    </row>
    <row r="13" spans="2:2" ht="15" x14ac:dyDescent="0.2">
      <c r="B13" s="67"/>
    </row>
    <row r="14" spans="2:2" ht="15" x14ac:dyDescent="0.2">
      <c r="B14" s="67" t="s">
        <v>134</v>
      </c>
    </row>
    <row r="15" spans="2:2" ht="15.75" x14ac:dyDescent="0.2">
      <c r="B15" s="68" t="s">
        <v>135</v>
      </c>
    </row>
    <row r="16" spans="2:2" ht="30.75" x14ac:dyDescent="0.2">
      <c r="B16" s="68" t="s">
        <v>136</v>
      </c>
    </row>
    <row r="17" spans="2:2" ht="15.75" x14ac:dyDescent="0.2">
      <c r="B17" s="68" t="s">
        <v>137</v>
      </c>
    </row>
    <row r="18" spans="2:2" x14ac:dyDescent="0.2">
      <c r="B18" s="69" t="s">
        <v>138</v>
      </c>
    </row>
    <row r="19" spans="2:2" x14ac:dyDescent="0.2">
      <c r="B19" s="69" t="s">
        <v>139</v>
      </c>
    </row>
    <row r="20" spans="2:2" ht="15" x14ac:dyDescent="0.2">
      <c r="B20" s="67"/>
    </row>
  </sheetData>
  <hyperlinks>
    <hyperlink ref="B18" r:id="rId1" display="https://www.bedsolar.com/" xr:uid="{240CFDA5-1346-4C31-ACB4-7DDD300B2A99}"/>
    <hyperlink ref="B19" r:id="rId2" display="https://bedenergiasolar.com.br/" xr:uid="{20CE3901-1919-4FB9-864C-B6F2B8C7301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B8973-DF0C-45E9-ACD7-8EB1BAEB5752}">
  <dimension ref="B2:B28"/>
  <sheetViews>
    <sheetView workbookViewId="0">
      <selection sqref="A1:XFD1"/>
    </sheetView>
  </sheetViews>
  <sheetFormatPr defaultRowHeight="12.75" x14ac:dyDescent="0.2"/>
  <cols>
    <col min="1" max="1" width="5.85546875" style="31" customWidth="1"/>
    <col min="2" max="2" width="108.28515625" style="31" customWidth="1"/>
    <col min="3" max="16384" width="9.140625" style="31"/>
  </cols>
  <sheetData>
    <row r="2" spans="2:2" ht="23.25" x14ac:dyDescent="0.2">
      <c r="B2" s="93" t="s">
        <v>166</v>
      </c>
    </row>
    <row r="3" spans="2:2" ht="23.25" x14ac:dyDescent="0.2">
      <c r="B3" s="94"/>
    </row>
    <row r="4" spans="2:2" ht="15.75" x14ac:dyDescent="0.2">
      <c r="B4" s="66" t="s">
        <v>165</v>
      </c>
    </row>
    <row r="6" spans="2:2" ht="15.75" x14ac:dyDescent="0.2">
      <c r="B6" s="66" t="s">
        <v>166</v>
      </c>
    </row>
    <row r="7" spans="2:2" ht="15" x14ac:dyDescent="0.2">
      <c r="B7" s="67"/>
    </row>
    <row r="8" spans="2:2" ht="30" x14ac:dyDescent="0.2">
      <c r="B8" s="67" t="s">
        <v>167</v>
      </c>
    </row>
    <row r="9" spans="2:2" ht="15.75" x14ac:dyDescent="0.2">
      <c r="B9" s="68" t="s">
        <v>168</v>
      </c>
    </row>
    <row r="10" spans="2:2" ht="30" x14ac:dyDescent="0.2">
      <c r="B10" s="67" t="s">
        <v>169</v>
      </c>
    </row>
    <row r="11" spans="2:2" ht="15" x14ac:dyDescent="0.2">
      <c r="B11" s="67"/>
    </row>
    <row r="12" spans="2:2" ht="30" x14ac:dyDescent="0.2">
      <c r="B12" s="67" t="s">
        <v>170</v>
      </c>
    </row>
    <row r="13" spans="2:2" ht="15" x14ac:dyDescent="0.2">
      <c r="B13" s="67" t="s">
        <v>171</v>
      </c>
    </row>
    <row r="14" spans="2:2" ht="15" x14ac:dyDescent="0.2">
      <c r="B14" s="67" t="s">
        <v>172</v>
      </c>
    </row>
    <row r="15" spans="2:2" ht="15" x14ac:dyDescent="0.2">
      <c r="B15" s="67"/>
    </row>
    <row r="16" spans="2:2" ht="15" x14ac:dyDescent="0.2">
      <c r="B16" s="67" t="s">
        <v>134</v>
      </c>
    </row>
    <row r="17" spans="2:2" ht="15.75" x14ac:dyDescent="0.2">
      <c r="B17" s="68" t="s">
        <v>135</v>
      </c>
    </row>
    <row r="18" spans="2:2" ht="30.75" x14ac:dyDescent="0.2">
      <c r="B18" s="68" t="s">
        <v>173</v>
      </c>
    </row>
    <row r="19" spans="2:2" ht="15.75" x14ac:dyDescent="0.2">
      <c r="B19" s="68" t="s">
        <v>137</v>
      </c>
    </row>
    <row r="20" spans="2:2" x14ac:dyDescent="0.2">
      <c r="B20" s="69"/>
    </row>
    <row r="21" spans="2:2" x14ac:dyDescent="0.2">
      <c r="B21" s="69"/>
    </row>
    <row r="22" spans="2:2" ht="15" x14ac:dyDescent="0.2">
      <c r="B22" s="67"/>
    </row>
    <row r="25" spans="2:2" x14ac:dyDescent="0.2">
      <c r="B25" s="38"/>
    </row>
    <row r="26" spans="2:2" x14ac:dyDescent="0.2">
      <c r="B26" s="38"/>
    </row>
    <row r="27" spans="2:2" x14ac:dyDescent="0.2">
      <c r="B27" s="38"/>
    </row>
    <row r="28" spans="2:2" x14ac:dyDescent="0.2">
      <c r="B28" s="3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7</vt:i4>
      </vt:variant>
      <vt:variant>
        <vt:lpstr>Intervalli denominati</vt:lpstr>
      </vt:variant>
      <vt:variant>
        <vt:i4>6</vt:i4>
      </vt:variant>
    </vt:vector>
  </HeadingPairs>
  <TitlesOfParts>
    <vt:vector size="13" baseType="lpstr">
      <vt:lpstr>Schema GREEN ENERBRAS</vt:lpstr>
      <vt:lpstr>Green Enerbras One SCSp</vt:lpstr>
      <vt:lpstr>New Life GP</vt:lpstr>
      <vt:lpstr>Tri Star Enerbras SCP</vt:lpstr>
      <vt:lpstr>Tri Star Energy GP</vt:lpstr>
      <vt:lpstr>BD Solar</vt:lpstr>
      <vt:lpstr>SGGS</vt:lpstr>
      <vt:lpstr>'New Life GP'!_Hlk188010558</vt:lpstr>
      <vt:lpstr>'Green Enerbras One SCSp'!Area_stampa</vt:lpstr>
      <vt:lpstr>'New Life GP'!Area_stampa</vt:lpstr>
      <vt:lpstr>'Schema GREEN ENERBRAS'!Area_stampa</vt:lpstr>
      <vt:lpstr>'Tri Star Enerbras SCP'!Area_stampa</vt:lpstr>
      <vt:lpstr>'Tri Star Energy GP'!Area_stampa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Edoardo Tubia</dc:creator>
  <cp:lastModifiedBy>Edoardo Tubia</cp:lastModifiedBy>
  <cp:lastPrinted>2025-04-04T07:10:16Z</cp:lastPrinted>
  <dcterms:created xsi:type="dcterms:W3CDTF">2024-04-04T14:22:00Z</dcterms:created>
  <dcterms:modified xsi:type="dcterms:W3CDTF">2026-08-03T09:29:02Z</dcterms:modified>
</cp:coreProperties>
</file>